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ainDim" sheetId="1" state="visible" r:id="rId3"/>
    <sheet name="Sheet2" sheetId="2" state="visible" r:id="rId4"/>
    <sheet name="MODULUS" sheetId="3" state="visible" r:id="rId5"/>
    <sheet name="Sheet1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lenovo</author>
  </authors>
  <commentList>
    <comment ref="A126" authorId="0">
      <text>
        <r>
          <rPr>
            <sz val="10"/>
            <rFont val="Arial"/>
            <family val="2"/>
          </rPr>
          <t xml:space="preserve">lenovo:
</t>
        </r>
        <r>
          <rPr>
            <sz val="9"/>
            <color rgb="FF000000"/>
            <rFont val="Tahoma"/>
            <family val="2"/>
            <charset val="1"/>
          </rPr>
          <t xml:space="preserve">web stifferner spacing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124</xdr:row>
                <xdr:rowOff>5</xdr:rowOff>
              </xdr:from>
              <xdr:to>
                <xdr:col>2</xdr:col>
                <xdr:colOff>-147</xdr:colOff>
                <xdr:row>128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<sst xmlns="http://schemas.openxmlformats.org/spreadsheetml/2006/main" count="329" uniqueCount="184">
  <si>
    <t xml:space="preserve">Main Dimension</t>
  </si>
  <si>
    <t xml:space="preserve">LOA</t>
  </si>
  <si>
    <t xml:space="preserve">100,58 m</t>
  </si>
  <si>
    <t xml:space="preserve">Iyy</t>
  </si>
  <si>
    <t xml:space="preserve">0.4 * </t>
  </si>
  <si>
    <t xml:space="preserve">Breadth</t>
  </si>
  <si>
    <t xml:space="preserve">27,432 m</t>
  </si>
  <si>
    <t xml:space="preserve">Ixx</t>
  </si>
  <si>
    <t xml:space="preserve">0.2 *</t>
  </si>
  <si>
    <t xml:space="preserve">Height</t>
  </si>
  <si>
    <t xml:space="preserve">6,09 m</t>
  </si>
  <si>
    <t xml:space="preserve">Izz</t>
  </si>
  <si>
    <t xml:space="preserve">Draught</t>
  </si>
  <si>
    <t xml:space="preserve">4,79 m</t>
  </si>
  <si>
    <t xml:space="preserve">A36 Steel</t>
  </si>
  <si>
    <t xml:space="preserve">Yield [Mpa]</t>
  </si>
  <si>
    <t xml:space="preserve">https://www.matweb.com/search/datasheet.aspx?MatGUID=afc003f4fb40465fa3df05129f0e88e6&amp;ckck=1</t>
  </si>
  <si>
    <t xml:space="preserve">https://www.researchgate.net/publication/343187872_Effect_Variations_And_Types_of_Smaw_Welding_Electrodes_on_A36_Steel_to_Tensile_Test</t>
  </si>
  <si>
    <t xml:space="preserve">https://gengfeisteel.com/knowledge/astm-a36-steel/</t>
  </si>
  <si>
    <t xml:space="preserve">https://ejournal.upbatam.ac.id/index.php/rsi/article/view/522/345</t>
  </si>
  <si>
    <t xml:space="preserve">https://ppid.kkp.go.id/upt/bppp-tegal/galeri/detail/peringatan-dini-gelombang-tinggi/</t>
  </si>
  <si>
    <t xml:space="preserve">Pelat Bilga</t>
  </si>
  <si>
    <t xml:space="preserve">Neutral Axis</t>
  </si>
  <si>
    <t xml:space="preserve">menghitung z (titik berat0</t>
  </si>
  <si>
    <t xml:space="preserve">No</t>
  </si>
  <si>
    <t xml:space="preserve">Nama bagian</t>
  </si>
  <si>
    <t xml:space="preserve">Jml</t>
  </si>
  <si>
    <t xml:space="preserve">Lebar</t>
  </si>
  <si>
    <t xml:space="preserve">Tinggi</t>
  </si>
  <si>
    <t xml:space="preserve">Sudut Thdp</t>
  </si>
  <si>
    <t xml:space="preserve">Luas Total</t>
  </si>
  <si>
    <t xml:space="preserve">Tinggi dari Base</t>
  </si>
  <si>
    <t xml:space="preserve">Titik berat thd Base </t>
  </si>
  <si>
    <t xml:space="preserve">Momen Luas  </t>
  </si>
  <si>
    <t xml:space="preserve">Momen Inersia</t>
  </si>
  <si>
    <t xml:space="preserve">M.Inersia Individu</t>
  </si>
  <si>
    <t xml:space="preserve">Bid. Horizontal</t>
  </si>
  <si>
    <r>
      <rPr>
        <sz val="10"/>
        <rFont val="Times New Roman"/>
        <family val="1"/>
        <charset val="1"/>
      </rPr>
      <t xml:space="preserve">( cm</t>
    </r>
    <r>
      <rPr>
        <vertAlign val="superscript"/>
        <sz val="10"/>
        <color rgb="FF000000"/>
        <rFont val="Times New Roman"/>
        <family val="1"/>
        <charset val="1"/>
      </rPr>
      <t xml:space="preserve"> </t>
    </r>
    <r>
      <rPr>
        <sz val="10"/>
        <color rgb="FF000000"/>
        <rFont val="Times New Roman"/>
        <family val="1"/>
        <charset val="1"/>
      </rPr>
      <t xml:space="preserve">)</t>
    </r>
  </si>
  <si>
    <r>
      <rPr>
        <sz val="10"/>
        <rFont val="Times New Roman"/>
        <family val="1"/>
        <charset val="1"/>
      </rPr>
      <t xml:space="preserve">( cm</t>
    </r>
    <r>
      <rPr>
        <vertAlign val="superscript"/>
        <sz val="10"/>
        <rFont val="Times New Roman"/>
        <family val="1"/>
        <charset val="1"/>
      </rPr>
      <t xml:space="preserve"> </t>
    </r>
    <r>
      <rPr>
        <sz val="10"/>
        <rFont val="Times New Roman"/>
        <family val="1"/>
        <charset val="1"/>
      </rPr>
      <t xml:space="preserve">)</t>
    </r>
  </si>
  <si>
    <t xml:space="preserve">(derajat)</t>
  </si>
  <si>
    <r>
      <rPr>
        <sz val="10"/>
        <rFont val="Times New Roman"/>
        <family val="1"/>
        <charset val="1"/>
      </rPr>
      <t xml:space="preserve">( cm</t>
    </r>
    <r>
      <rPr>
        <vertAlign val="superscript"/>
        <sz val="10"/>
        <rFont val="Times New Roman"/>
        <family val="1"/>
        <charset val="1"/>
      </rPr>
      <t xml:space="preserve">2 </t>
    </r>
    <r>
      <rPr>
        <sz val="10"/>
        <rFont val="Times New Roman"/>
        <family val="1"/>
        <charset val="1"/>
      </rPr>
      <t xml:space="preserve">)</t>
    </r>
  </si>
  <si>
    <t xml:space="preserve">(cm)</t>
  </si>
  <si>
    <r>
      <rPr>
        <sz val="10"/>
        <rFont val="Times New Roman"/>
        <family val="1"/>
        <charset val="1"/>
      </rPr>
      <t xml:space="preserve">( cm</t>
    </r>
    <r>
      <rPr>
        <vertAlign val="superscript"/>
        <sz val="10"/>
        <rFont val="Times New Roman"/>
        <family val="1"/>
        <charset val="1"/>
      </rPr>
      <t xml:space="preserve">3 </t>
    </r>
    <r>
      <rPr>
        <sz val="10"/>
        <rFont val="Times New Roman"/>
        <family val="1"/>
        <charset val="1"/>
      </rPr>
      <t xml:space="preserve">)</t>
    </r>
  </si>
  <si>
    <r>
      <rPr>
        <sz val="10"/>
        <rFont val="Times New Roman"/>
        <family val="1"/>
        <charset val="1"/>
      </rPr>
      <t xml:space="preserve">( cm</t>
    </r>
    <r>
      <rPr>
        <vertAlign val="superscript"/>
        <sz val="10"/>
        <rFont val="Times New Roman"/>
        <family val="1"/>
        <charset val="1"/>
      </rPr>
      <t xml:space="preserve">4 </t>
    </r>
    <r>
      <rPr>
        <sz val="10"/>
        <rFont val="Times New Roman"/>
        <family val="1"/>
        <charset val="1"/>
      </rPr>
      <t xml:space="preserve">)</t>
    </r>
  </si>
  <si>
    <r>
      <rPr>
        <sz val="10"/>
        <rFont val="Times New Roman"/>
        <family val="1"/>
        <charset val="1"/>
      </rPr>
      <t xml:space="preserve">Ix cos</t>
    </r>
    <r>
      <rPr>
        <vertAlign val="superscript"/>
        <sz val="10"/>
        <rFont val="Times New Roman"/>
        <family val="1"/>
        <charset val="1"/>
      </rPr>
      <t xml:space="preserve">2</t>
    </r>
    <r>
      <rPr>
        <sz val="10"/>
        <rFont val="Times New Roman"/>
        <family val="1"/>
        <charset val="1"/>
      </rPr>
      <t xml:space="preserve"> a</t>
    </r>
  </si>
  <si>
    <r>
      <rPr>
        <sz val="10"/>
        <rFont val="Times New Roman"/>
        <family val="1"/>
        <charset val="1"/>
      </rPr>
      <t xml:space="preserve">Iy sin</t>
    </r>
    <r>
      <rPr>
        <vertAlign val="superscript"/>
        <sz val="10"/>
        <rFont val="Times New Roman"/>
        <family val="1"/>
        <charset val="1"/>
      </rPr>
      <t xml:space="preserve">2</t>
    </r>
    <r>
      <rPr>
        <sz val="10"/>
        <rFont val="Times New Roman"/>
        <family val="1"/>
        <charset val="1"/>
      </rPr>
      <t xml:space="preserve"> a</t>
    </r>
  </si>
  <si>
    <t xml:space="preserve">Io</t>
  </si>
  <si>
    <t xml:space="preserve"> [n] </t>
  </si>
  <si>
    <t xml:space="preserve">[ b ]</t>
  </si>
  <si>
    <t xml:space="preserve">[ h ]</t>
  </si>
  <si>
    <t xml:space="preserve">[ a ]</t>
  </si>
  <si>
    <r>
      <rPr>
        <sz val="10"/>
        <rFont val="Times New Roman"/>
        <family val="1"/>
        <charset val="1"/>
      </rPr>
      <t xml:space="preserve">[ A</t>
    </r>
    <r>
      <rPr>
        <vertAlign val="subscript"/>
        <sz val="10"/>
        <rFont val="Times New Roman"/>
        <family val="1"/>
        <charset val="1"/>
      </rPr>
      <t xml:space="preserve">T  </t>
    </r>
    <r>
      <rPr>
        <sz val="10"/>
        <rFont val="Times New Roman"/>
        <family val="1"/>
        <charset val="1"/>
      </rPr>
      <t xml:space="preserve">]</t>
    </r>
  </si>
  <si>
    <r>
      <rPr>
        <sz val="10"/>
        <rFont val="Times New Roman"/>
        <family val="1"/>
        <charset val="1"/>
      </rPr>
      <t xml:space="preserve">(H</t>
    </r>
    <r>
      <rPr>
        <vertAlign val="subscript"/>
        <sz val="10"/>
        <rFont val="Times New Roman"/>
        <family val="1"/>
        <charset val="1"/>
      </rPr>
      <t xml:space="preserve">base</t>
    </r>
    <r>
      <rPr>
        <sz val="10"/>
        <rFont val="Times New Roman"/>
        <family val="1"/>
        <charset val="1"/>
      </rPr>
      <t xml:space="preserve">)</t>
    </r>
  </si>
  <si>
    <t xml:space="preserve">[ Z ]</t>
  </si>
  <si>
    <r>
      <rPr>
        <sz val="10"/>
        <rFont val="Times New Roman"/>
        <family val="1"/>
        <charset val="1"/>
      </rPr>
      <t xml:space="preserve">[ A</t>
    </r>
    <r>
      <rPr>
        <vertAlign val="subscript"/>
        <sz val="10"/>
        <rFont val="Times New Roman"/>
        <family val="1"/>
        <charset val="1"/>
      </rPr>
      <t xml:space="preserve">T </t>
    </r>
    <r>
      <rPr>
        <sz val="10"/>
        <rFont val="Times New Roman"/>
        <family val="1"/>
        <charset val="1"/>
      </rPr>
      <t xml:space="preserve"> x z ]</t>
    </r>
  </si>
  <si>
    <r>
      <rPr>
        <sz val="10"/>
        <rFont val="Times New Roman"/>
        <family val="1"/>
        <charset val="1"/>
      </rPr>
      <t xml:space="preserve">[ A</t>
    </r>
    <r>
      <rPr>
        <vertAlign val="subscript"/>
        <sz val="10"/>
        <rFont val="Times New Roman"/>
        <family val="1"/>
        <charset val="1"/>
      </rPr>
      <t xml:space="preserve">T</t>
    </r>
    <r>
      <rPr>
        <sz val="10"/>
        <rFont val="Times New Roman"/>
        <family val="1"/>
        <charset val="1"/>
      </rPr>
      <t xml:space="preserve"> x z</t>
    </r>
    <r>
      <rPr>
        <vertAlign val="superscript"/>
        <sz val="10"/>
        <rFont val="Times New Roman"/>
        <family val="1"/>
        <charset val="1"/>
      </rPr>
      <t xml:space="preserve">2</t>
    </r>
    <r>
      <rPr>
        <sz val="10"/>
        <rFont val="Times New Roman"/>
        <family val="1"/>
        <charset val="1"/>
      </rPr>
      <t xml:space="preserve"> ]</t>
    </r>
  </si>
  <si>
    <r>
      <rPr>
        <sz val="10"/>
        <rFont val="Times New Roman"/>
        <family val="1"/>
        <charset val="1"/>
      </rPr>
      <t xml:space="preserve">[ Ix = 1/12 x b x h</t>
    </r>
    <r>
      <rPr>
        <vertAlign val="superscript"/>
        <sz val="10"/>
        <rFont val="Times New Roman"/>
        <family val="1"/>
        <charset val="1"/>
      </rPr>
      <t xml:space="preserve">3</t>
    </r>
    <r>
      <rPr>
        <sz val="10"/>
        <rFont val="Times New Roman"/>
        <family val="1"/>
        <charset val="1"/>
      </rPr>
      <t xml:space="preserve"> ]</t>
    </r>
  </si>
  <si>
    <r>
      <rPr>
        <sz val="10"/>
        <rFont val="Times New Roman"/>
        <family val="1"/>
        <charset val="1"/>
      </rPr>
      <t xml:space="preserve">[ Iy = 1/12 x h x b</t>
    </r>
    <r>
      <rPr>
        <vertAlign val="superscript"/>
        <sz val="10"/>
        <rFont val="Times New Roman"/>
        <family val="1"/>
        <charset val="1"/>
      </rPr>
      <t xml:space="preserve">3</t>
    </r>
    <r>
      <rPr>
        <sz val="10"/>
        <rFont val="Times New Roman"/>
        <family val="1"/>
        <charset val="1"/>
      </rPr>
      <t xml:space="preserve"> ]</t>
    </r>
  </si>
  <si>
    <r>
      <rPr>
        <sz val="10"/>
        <rFont val="Times New Roman"/>
        <family val="1"/>
        <charset val="1"/>
      </rPr>
      <t xml:space="preserve">[ Ix cos</t>
    </r>
    <r>
      <rPr>
        <vertAlign val="superscript"/>
        <sz val="10"/>
        <rFont val="Times New Roman"/>
        <family val="1"/>
        <charset val="1"/>
      </rPr>
      <t xml:space="preserve">2</t>
    </r>
    <r>
      <rPr>
        <sz val="10"/>
        <rFont val="Times New Roman"/>
        <family val="1"/>
        <charset val="1"/>
      </rPr>
      <t xml:space="preserve"> a + Iy sin</t>
    </r>
    <r>
      <rPr>
        <vertAlign val="superscript"/>
        <sz val="10"/>
        <rFont val="Times New Roman"/>
        <family val="1"/>
        <charset val="1"/>
      </rPr>
      <t xml:space="preserve">2</t>
    </r>
    <r>
      <rPr>
        <sz val="10"/>
        <rFont val="Times New Roman"/>
        <family val="1"/>
        <charset val="1"/>
      </rPr>
      <t xml:space="preserve"> a ]</t>
    </r>
  </si>
  <si>
    <t xml:space="preserve">Long Stiff Bottom 1</t>
  </si>
  <si>
    <t xml:space="preserve">-Web</t>
  </si>
  <si>
    <t xml:space="preserve">-Frame</t>
  </si>
  <si>
    <t xml:space="preserve">Long Stiff Bottom 2</t>
  </si>
  <si>
    <t xml:space="preserve">Long Stiff Bottom 3</t>
  </si>
  <si>
    <t xml:space="preserve">Long Stiff Bottom 4</t>
  </si>
  <si>
    <t xml:space="preserve">Long Stiff Bottom 5</t>
  </si>
  <si>
    <t xml:space="preserve">Long Stiff Bottom 6</t>
  </si>
  <si>
    <t xml:space="preserve">Long Stiff Bottom 7</t>
  </si>
  <si>
    <t xml:space="preserve">Long Stiff Bottom 8</t>
  </si>
  <si>
    <t xml:space="preserve">Long Stiff Bottom 9</t>
  </si>
  <si>
    <t xml:space="preserve">Long Stiff Bottom 10</t>
  </si>
  <si>
    <t xml:space="preserve">Long Stiff Bottom 11</t>
  </si>
  <si>
    <t xml:space="preserve">Long Stiff Bottom 12</t>
  </si>
  <si>
    <t xml:space="preserve">Long Stiff Bottom 13</t>
  </si>
  <si>
    <t xml:space="preserve">Long Stiff Bottom 14</t>
  </si>
  <si>
    <t xml:space="preserve">Long Stiff Bottom 15</t>
  </si>
  <si>
    <t xml:space="preserve">Long Stiff Bottom 16</t>
  </si>
  <si>
    <t xml:space="preserve">Long Stiff Bottom 17</t>
  </si>
  <si>
    <t xml:space="preserve">Long Stiff Bottom 18</t>
  </si>
  <si>
    <t xml:space="preserve">Long Stiff Bottom 19</t>
  </si>
  <si>
    <t xml:space="preserve">Long Stiff Deck 1</t>
  </si>
  <si>
    <t xml:space="preserve">Long Stiff Deck 2</t>
  </si>
  <si>
    <t xml:space="preserve">Long Stiff Deck 3</t>
  </si>
  <si>
    <t xml:space="preserve">Long Stiff Deck 4</t>
  </si>
  <si>
    <t xml:space="preserve">Long Stiff Deck 5</t>
  </si>
  <si>
    <t xml:space="preserve">Long Stiff Deck 6</t>
  </si>
  <si>
    <t xml:space="preserve">Long Stiff Deck 7</t>
  </si>
  <si>
    <t xml:space="preserve">Long Stiff Deck 8</t>
  </si>
  <si>
    <t xml:space="preserve">Long Stiff Deck 9</t>
  </si>
  <si>
    <t xml:space="preserve">Long Stiff Deck 10</t>
  </si>
  <si>
    <t xml:space="preserve">Long Stiff Deck 11</t>
  </si>
  <si>
    <t xml:space="preserve">Long Stiff Deck 12</t>
  </si>
  <si>
    <t xml:space="preserve">Long Stiff Deck 13</t>
  </si>
  <si>
    <t xml:space="preserve">Long Stiff Deck 14</t>
  </si>
  <si>
    <t xml:space="preserve">Long Stiff Deck 15</t>
  </si>
  <si>
    <t xml:space="preserve">Long Stiff Deck 16</t>
  </si>
  <si>
    <t xml:space="preserve">Long Stiff Deck 17</t>
  </si>
  <si>
    <t xml:space="preserve">Long Stiff Deck 18</t>
  </si>
  <si>
    <t xml:space="preserve">Long Stiff Deck 19</t>
  </si>
  <si>
    <t xml:space="preserve">Long Stiff Deck 20</t>
  </si>
  <si>
    <t xml:space="preserve">Long Stiff Side Shell 1</t>
  </si>
  <si>
    <t xml:space="preserve">Long Stiff Side Shell 2</t>
  </si>
  <si>
    <t xml:space="preserve">Long Stiff Side Shell 3</t>
  </si>
  <si>
    <t xml:space="preserve">Long Stiff Side Shell 4</t>
  </si>
  <si>
    <t xml:space="preserve">Long Stiff Side Shell 5</t>
  </si>
  <si>
    <t xml:space="preserve">Long Stiff Side Shell 6</t>
  </si>
  <si>
    <t xml:space="preserve">Long Stiff Side Shell 7</t>
  </si>
  <si>
    <t xml:space="preserve">Long Stiff Side Shell 8</t>
  </si>
  <si>
    <t xml:space="preserve">Long Stiff Web 1</t>
  </si>
  <si>
    <t xml:space="preserve">Long Stiff Web 2</t>
  </si>
  <si>
    <t xml:space="preserve">Long Stiff Web 3</t>
  </si>
  <si>
    <t xml:space="preserve">Long Stiff Web 4</t>
  </si>
  <si>
    <t xml:space="preserve">Long Stiff Web 5</t>
  </si>
  <si>
    <t xml:space="preserve">Long Stiff Web 6</t>
  </si>
  <si>
    <t xml:space="preserve">Long Stiff Web 7</t>
  </si>
  <si>
    <t xml:space="preserve">Long Stiff Web 8</t>
  </si>
  <si>
    <t xml:space="preserve">Long Stiff Web 9</t>
  </si>
  <si>
    <t xml:space="preserve">SEKAT MEMANJANG P/S</t>
  </si>
  <si>
    <t xml:space="preserve">Long Stiff CL 1</t>
  </si>
  <si>
    <t xml:space="preserve">Long Stiff CL 2</t>
  </si>
  <si>
    <t xml:space="preserve">Long Stiff CL 3</t>
  </si>
  <si>
    <t xml:space="preserve">Long Stiff CL 4</t>
  </si>
  <si>
    <t xml:space="preserve">Long Stiff CL 5</t>
  </si>
  <si>
    <t xml:space="preserve">Long Stiff CL 6</t>
  </si>
  <si>
    <t xml:space="preserve">Long Stiff CL 7</t>
  </si>
  <si>
    <t xml:space="preserve">Long Stiff CL 8</t>
  </si>
  <si>
    <t xml:space="preserve">Long Stiff CL 9</t>
  </si>
  <si>
    <t xml:space="preserve">SEKAT MEMANJANG CL</t>
  </si>
  <si>
    <t xml:space="preserve">Pelat</t>
  </si>
  <si>
    <t xml:space="preserve">Pelat Sisi</t>
  </si>
  <si>
    <t xml:space="preserve">Pelat Bottom 1</t>
  </si>
  <si>
    <t xml:space="preserve">Pelat Bottom 2</t>
  </si>
  <si>
    <t xml:space="preserve">Pelat Bottom 3</t>
  </si>
  <si>
    <t xml:space="preserve">Pelat Bottom 4</t>
  </si>
  <si>
    <t xml:space="preserve">Pelat Deck</t>
  </si>
  <si>
    <t xml:space="preserve">Bilga</t>
  </si>
  <si>
    <t xml:space="preserve">Hopper Dalam</t>
  </si>
  <si>
    <t xml:space="preserve">Chine Luar</t>
  </si>
  <si>
    <t xml:space="preserve">Pembujur Web</t>
  </si>
  <si>
    <t xml:space="preserve">Pembujur Frame</t>
  </si>
  <si>
    <t xml:space="preserve">SIGMA 1</t>
  </si>
  <si>
    <t xml:space="preserve">SIGMA 2</t>
  </si>
  <si>
    <t xml:space="preserve">SIGMA 3</t>
  </si>
  <si>
    <t xml:space="preserve">SIGMA 4</t>
  </si>
  <si>
    <t xml:space="preserve">Kalkulasi Neutral Axis</t>
  </si>
  <si>
    <r>
      <rPr>
        <sz val="11"/>
        <color theme="1"/>
        <rFont val="Calibri"/>
        <family val="2"/>
        <charset val="1"/>
      </rPr>
      <t xml:space="preserve">Titik Berat terhadap dasar [Z</t>
    </r>
    <r>
      <rPr>
        <vertAlign val="subscript"/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Calibri"/>
        <family val="2"/>
        <charset val="1"/>
      </rPr>
      <t xml:space="preserve">]</t>
    </r>
  </si>
  <si>
    <t xml:space="preserve">S2 / S1</t>
  </si>
  <si>
    <t xml:space="preserve">cm</t>
  </si>
  <si>
    <r>
      <rPr>
        <sz val="11"/>
        <color theme="1"/>
        <rFont val="Calibri"/>
        <family val="2"/>
        <charset val="1"/>
      </rPr>
      <t xml:space="preserve">Titik Berat terhadap dek [Z</t>
    </r>
    <r>
      <rPr>
        <vertAlign val="subscript"/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Calibri"/>
        <family val="2"/>
        <charset val="1"/>
      </rPr>
      <t xml:space="preserve">]</t>
    </r>
  </si>
  <si>
    <r>
      <rPr>
        <sz val="11"/>
        <color theme="1"/>
        <rFont val="Calibri"/>
        <family val="2"/>
        <charset val="1"/>
      </rPr>
      <t xml:space="preserve">H-Z</t>
    </r>
    <r>
      <rPr>
        <vertAlign val="subscript"/>
        <sz val="11"/>
        <color theme="1"/>
        <rFont val="Calibri"/>
        <family val="2"/>
        <charset val="1"/>
      </rPr>
      <t xml:space="preserve">1</t>
    </r>
  </si>
  <si>
    <t xml:space="preserve">H =</t>
  </si>
  <si>
    <t xml:space="preserve">m</t>
  </si>
  <si>
    <r>
      <rPr>
        <sz val="10"/>
        <rFont val="Arial"/>
        <family val="2"/>
        <charset val="1"/>
      </rPr>
      <t xml:space="preserve">I</t>
    </r>
    <r>
      <rPr>
        <vertAlign val="subscript"/>
        <sz val="10"/>
        <rFont val="Arial"/>
        <family val="2"/>
        <charset val="1"/>
      </rPr>
      <t xml:space="preserve">xx</t>
    </r>
    <r>
      <rPr>
        <sz val="10"/>
        <rFont val="Arial"/>
        <family val="2"/>
        <charset val="1"/>
      </rPr>
      <t xml:space="preserve"> = </t>
    </r>
    <r>
      <rPr>
        <sz val="10"/>
        <rFont val="Symbol"/>
        <family val="1"/>
        <charset val="2"/>
      </rPr>
      <t xml:space="preserve">S</t>
    </r>
    <r>
      <rPr>
        <vertAlign val="subscript"/>
        <sz val="10"/>
        <rFont val="Arial"/>
        <family val="2"/>
        <charset val="1"/>
      </rPr>
      <t xml:space="preserve">3</t>
    </r>
    <r>
      <rPr>
        <sz val="10"/>
        <rFont val="Arial"/>
        <family val="2"/>
        <charset val="1"/>
      </rPr>
      <t xml:space="preserve"> + </t>
    </r>
    <r>
      <rPr>
        <sz val="10"/>
        <rFont val="Symbol"/>
        <family val="1"/>
        <charset val="2"/>
      </rPr>
      <t xml:space="preserve">S</t>
    </r>
    <r>
      <rPr>
        <vertAlign val="subscript"/>
        <sz val="10"/>
        <rFont val="Arial"/>
        <family val="2"/>
        <charset val="1"/>
      </rPr>
      <t xml:space="preserve">4  </t>
    </r>
    <r>
      <rPr>
        <sz val="10"/>
        <rFont val="Arial"/>
        <family val="2"/>
        <charset val="1"/>
      </rPr>
      <t xml:space="preserve">                          =</t>
    </r>
  </si>
  <si>
    <r>
      <rPr>
        <sz val="11"/>
        <color theme="1"/>
        <rFont val="Calibri"/>
        <family val="2"/>
        <charset val="1"/>
      </rPr>
      <t xml:space="preserve">cm</t>
    </r>
    <r>
      <rPr>
        <vertAlign val="superscript"/>
        <sz val="11"/>
        <color theme="1"/>
        <rFont val="Calibri"/>
        <family val="2"/>
        <charset val="1"/>
      </rPr>
      <t xml:space="preserve">4</t>
    </r>
  </si>
  <si>
    <r>
      <rPr>
        <sz val="10"/>
        <rFont val="Arial"/>
        <family val="2"/>
        <charset val="1"/>
      </rPr>
      <t xml:space="preserve">I</t>
    </r>
    <r>
      <rPr>
        <vertAlign val="subscript"/>
        <sz val="10"/>
        <rFont val="Arial"/>
        <family val="2"/>
        <charset val="1"/>
      </rPr>
      <t xml:space="preserve">NA</t>
    </r>
    <r>
      <rPr>
        <sz val="10"/>
        <rFont val="Arial"/>
        <family val="2"/>
        <charset val="1"/>
      </rPr>
      <t xml:space="preserve"> = I</t>
    </r>
    <r>
      <rPr>
        <vertAlign val="subscript"/>
        <sz val="10"/>
        <rFont val="Arial"/>
        <family val="2"/>
        <charset val="1"/>
      </rPr>
      <t xml:space="preserve">XX</t>
    </r>
    <r>
      <rPr>
        <sz val="10"/>
        <rFont val="Arial"/>
        <family val="2"/>
        <charset val="1"/>
      </rPr>
      <t xml:space="preserve"> - ( z</t>
    </r>
    <r>
      <rPr>
        <vertAlign val="subscript"/>
        <sz val="10"/>
        <rFont val="Arial"/>
        <family val="2"/>
        <charset val="1"/>
      </rPr>
      <t xml:space="preserve">1</t>
    </r>
    <r>
      <rPr>
        <sz val="10"/>
        <rFont val="Arial"/>
        <family val="2"/>
        <charset val="1"/>
      </rPr>
      <t xml:space="preserve"> )</t>
    </r>
    <r>
      <rPr>
        <vertAlign val="superscript"/>
        <sz val="10"/>
        <rFont val="Arial"/>
        <family val="2"/>
        <charset val="1"/>
      </rPr>
      <t xml:space="preserve">2</t>
    </r>
    <r>
      <rPr>
        <sz val="10"/>
        <rFont val="Arial"/>
        <family val="2"/>
        <charset val="1"/>
      </rPr>
      <t xml:space="preserve">.</t>
    </r>
    <r>
      <rPr>
        <sz val="10"/>
        <rFont val="Symbol"/>
        <family val="1"/>
        <charset val="2"/>
      </rPr>
      <t xml:space="preserve">S</t>
    </r>
    <r>
      <rPr>
        <vertAlign val="subscript"/>
        <sz val="10"/>
        <rFont val="Symbol"/>
        <family val="1"/>
        <charset val="2"/>
      </rPr>
      <t xml:space="preserve">1</t>
    </r>
    <r>
      <rPr>
        <sz val="10"/>
        <rFont val="Arial"/>
        <family val="2"/>
        <charset val="1"/>
      </rPr>
      <t xml:space="preserve">                   =</t>
    </r>
  </si>
  <si>
    <t xml:space="preserve">Modulus Penampang thdp Bottom</t>
  </si>
  <si>
    <t xml:space="preserve">k</t>
  </si>
  <si>
    <r>
      <rPr>
        <sz val="11"/>
        <color theme="1"/>
        <rFont val="Calibri"/>
        <family val="2"/>
        <charset val="1"/>
      </rPr>
      <t xml:space="preserve">W</t>
    </r>
    <r>
      <rPr>
        <vertAlign val="subscript"/>
        <sz val="11"/>
        <color theme="1"/>
        <rFont val="Calibri"/>
        <family val="2"/>
        <charset val="1"/>
      </rPr>
      <t xml:space="preserve">bot</t>
    </r>
    <r>
      <rPr>
        <sz val="11"/>
        <color theme="1"/>
        <rFont val="Calibri"/>
        <family val="2"/>
        <charset val="1"/>
      </rPr>
      <t xml:space="preserve"> = I</t>
    </r>
    <r>
      <rPr>
        <vertAlign val="subscript"/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Calibri"/>
        <family val="2"/>
        <charset val="1"/>
      </rPr>
      <t xml:space="preserve">/Z</t>
    </r>
    <r>
      <rPr>
        <vertAlign val="subscript"/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</si>
  <si>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cm</t>
    </r>
    <r>
      <rPr>
        <vertAlign val="superscript"/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</si>
  <si>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Calibri"/>
        <family val="2"/>
        <charset val="1"/>
      </rPr>
      <t xml:space="preserve">C</t>
    </r>
    <r>
      <rPr>
        <vertAlign val="subscript"/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</si>
  <si>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W</t>
    </r>
    <r>
      <rPr>
        <vertAlign val="subscript"/>
        <sz val="11"/>
        <color theme="1"/>
        <rFont val="Calibri"/>
        <family val="2"/>
        <charset val="1"/>
      </rPr>
      <t xml:space="preserve">min</t>
    </r>
  </si>
  <si>
    <r>
      <rPr>
        <sz val="11"/>
        <color theme="1"/>
        <rFont val="Calibri"/>
        <family val="2"/>
        <charset val="1"/>
      </rPr>
      <t xml:space="preserve">m</t>
    </r>
    <r>
      <rPr>
        <vertAlign val="superscript"/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</si>
  <si>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Calibri"/>
        <family val="2"/>
        <charset val="1"/>
      </rPr>
      <t xml:space="preserve">L</t>
    </r>
    <r>
      <rPr>
        <vertAlign val="superscript"/>
        <sz val="11"/>
        <color theme="1"/>
        <rFont val="Calibri"/>
        <family val="2"/>
        <charset val="1"/>
      </rPr>
      <t xml:space="preserve">2</t>
    </r>
  </si>
  <si>
    <t xml:space="preserve">Modulus Penampang thdp Deck</t>
  </si>
  <si>
    <t xml:space="preserve">B</t>
  </si>
  <si>
    <r>
      <rPr>
        <sz val="11"/>
        <color theme="1"/>
        <rFont val="Calibri"/>
        <family val="2"/>
        <charset val="1"/>
      </rPr>
      <t xml:space="preserve">W</t>
    </r>
    <r>
      <rPr>
        <vertAlign val="subscript"/>
        <sz val="11"/>
        <color theme="1"/>
        <rFont val="Calibri"/>
        <family val="2"/>
        <charset val="1"/>
      </rPr>
      <t xml:space="preserve">deck</t>
    </r>
    <r>
      <rPr>
        <sz val="11"/>
        <color theme="1"/>
        <rFont val="Calibri"/>
        <family val="2"/>
        <charset val="1"/>
      </rPr>
      <t xml:space="preserve"> = I</t>
    </r>
    <r>
      <rPr>
        <vertAlign val="subscript"/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Calibri"/>
        <family val="2"/>
        <charset val="1"/>
      </rPr>
      <t xml:space="preserve">/Z</t>
    </r>
    <r>
      <rPr>
        <vertAlign val="subscript"/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</si>
  <si>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C</t>
    </r>
    <r>
      <rPr>
        <vertAlign val="subscript"/>
        <sz val="11"/>
        <color theme="1"/>
        <rFont val="Calibri"/>
        <family val="2"/>
        <charset val="1"/>
      </rPr>
      <t xml:space="preserve">B</t>
    </r>
  </si>
  <si>
    <t xml:space="preserve">sfsaf</t>
  </si>
  <si>
    <t xml:space="preserve">Judul</t>
  </si>
  <si>
    <t xml:space="preserve">Uu</t>
  </si>
  <si>
    <t xml:space="preserve">No1</t>
  </si>
  <si>
    <t xml:space="preserve">ds</t>
  </si>
  <si>
    <t xml:space="preserve">Uraian</t>
  </si>
  <si>
    <t xml:space="preserve">Nilai</t>
  </si>
  <si>
    <t xml:space="preserve">Satuan</t>
  </si>
  <si>
    <t xml:space="preserve">Panjang (LOA)</t>
  </si>
  <si>
    <t xml:space="preserve">100,58</t>
  </si>
  <si>
    <t xml:space="preserve">Meter</t>
  </si>
  <si>
    <t xml:space="preserve">27,43</t>
  </si>
  <si>
    <t xml:space="preserve">6,09</t>
  </si>
  <si>
    <t xml:space="preserve">Draft</t>
  </si>
  <si>
    <t xml:space="preserve">4,79</t>
  </si>
  <si>
    <r>
      <rPr>
        <sz val="11"/>
        <color theme="1"/>
        <rFont val="Calibri"/>
        <family val="2"/>
        <charset val="1"/>
      </rPr>
      <t xml:space="preserve">SWBM</t>
    </r>
    <r>
      <rPr>
        <vertAlign val="subscript"/>
        <sz val="11"/>
        <color theme="1"/>
        <rFont val="Calibri"/>
        <family val="2"/>
        <charset val="1"/>
      </rPr>
      <t xml:space="preserve">max</t>
    </r>
  </si>
  <si>
    <t xml:space="preserve">Mega Newton Meter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</si>
</sst>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* #,##0.00_-;\-* #,##0.00_-;_-* \-??_-;_-@_-"/>
    <numFmt numFmtId="166" formatCode="_-* #,##0_-;\-* #,##0_-;_-* \-_-;_-@_-"/>
    <numFmt numFmtId="167" formatCode="0.00"/>
    <numFmt numFmtId="168" formatCode="0%"/>
    <numFmt numFmtId="169" formatCode="_-* #,##0.000_-;\-* #,##0.000_-;_-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Calibri"/>
      <family val="0"/>
      <charset val="134"/>
    </font>
    <font>
      <u val="single"/>
      <sz val="11"/>
      <color theme="10"/>
      <name val="Calibri"/>
      <family val="2"/>
      <charset val="1"/>
    </font>
    <font>
      <b val="true"/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0"/>
      <name val="Times New Roman"/>
      <family val="1"/>
      <charset val="1"/>
    </font>
    <font>
      <vertAlign val="superscript"/>
      <sz val="10"/>
      <color rgb="FF000000"/>
      <name val="Times New Roman"/>
      <family val="1"/>
      <charset val="1"/>
    </font>
    <font>
      <sz val="10"/>
      <color rgb="FF000000"/>
      <name val="Times New Roman"/>
      <family val="1"/>
      <charset val="1"/>
    </font>
    <font>
      <vertAlign val="superscript"/>
      <sz val="10"/>
      <name val="Times New Roman"/>
      <family val="1"/>
      <charset val="1"/>
    </font>
    <font>
      <vertAlign val="subscript"/>
      <sz val="10"/>
      <name val="Times New Roman"/>
      <family val="1"/>
      <charset val="1"/>
    </font>
    <font>
      <vertAlign val="subscript"/>
      <sz val="11"/>
      <color theme="1"/>
      <name val="Calibri"/>
      <family val="2"/>
      <charset val="1"/>
    </font>
    <font>
      <vertAlign val="subscript"/>
      <sz val="10"/>
      <name val="Arial"/>
      <family val="2"/>
      <charset val="1"/>
    </font>
    <font>
      <sz val="10"/>
      <name val="Symbol"/>
      <family val="1"/>
      <charset val="2"/>
    </font>
    <font>
      <vertAlign val="superscript"/>
      <sz val="11"/>
      <color theme="1"/>
      <name val="Calibri"/>
      <family val="2"/>
      <charset val="1"/>
    </font>
    <font>
      <vertAlign val="superscript"/>
      <sz val="10"/>
      <name val="Arial"/>
      <family val="2"/>
      <charset val="1"/>
    </font>
    <font>
      <vertAlign val="subscript"/>
      <sz val="10"/>
      <name val="Symbol"/>
      <family val="1"/>
      <charset val="2"/>
    </font>
    <font>
      <sz val="10"/>
      <name val="Arial"/>
      <family val="2"/>
    </font>
    <font>
      <sz val="9"/>
      <color rgb="FF000000"/>
      <name val="Tahoma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25"/>
        <bgColor rgb="FFA5A5A5"/>
      </patternFill>
    </fill>
    <fill>
      <patternFill patternType="solid">
        <fgColor theme="6"/>
        <bgColor rgb="FFBFBFBF"/>
      </patternFill>
    </fill>
    <fill>
      <patternFill patternType="solid">
        <fgColor theme="4" tint="0.7999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medium"/>
      <diagonal/>
    </border>
  </borders>
  <cellStyleXfs count="3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2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5" xfId="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3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3" xfId="3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4" xfId="3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6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31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7" xfId="3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" borderId="7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6" xfId="3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3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3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3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2" xfId="3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7" xfId="3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7" xfId="3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3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Comma 3" xfId="22"/>
    <cellStyle name="Comma [0] 2" xfId="23"/>
    <cellStyle name="Hyperlink 2" xfId="24"/>
    <cellStyle name="Normal 2" xfId="25"/>
    <cellStyle name="Normal 3" xfId="26"/>
    <cellStyle name="Normal 37" xfId="27"/>
    <cellStyle name="Normal 4" xfId="28"/>
    <cellStyle name="Normal 4 2" xfId="29"/>
    <cellStyle name="Normal 4 2 2" xfId="30"/>
    <cellStyle name="Normal 5" xfId="31"/>
    <cellStyle name="Normal 6" xfId="32"/>
    <cellStyle name="Percent 2" xfId="3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442800</xdr:colOff>
      <xdr:row>8</xdr:row>
      <xdr:rowOff>99720</xdr:rowOff>
    </xdr:from>
    <xdr:to>
      <xdr:col>20</xdr:col>
      <xdr:colOff>451080</xdr:colOff>
      <xdr:row>37</xdr:row>
      <xdr:rowOff>165960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7810200" y="1668240"/>
          <a:ext cx="6650280" cy="531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84240</xdr:colOff>
      <xdr:row>10</xdr:row>
      <xdr:rowOff>150480</xdr:rowOff>
    </xdr:from>
    <xdr:to>
      <xdr:col>10</xdr:col>
      <xdr:colOff>168840</xdr:colOff>
      <xdr:row>34</xdr:row>
      <xdr:rowOff>175320</xdr:rowOff>
    </xdr:to>
    <xdr:pic>
      <xdr:nvPicPr>
        <xdr:cNvPr id="2" name="Picture 2"/>
        <xdr:cNvPicPr/>
      </xdr:nvPicPr>
      <xdr:blipFill>
        <a:blip r:embed="rId2"/>
        <a:stretch/>
      </xdr:blipFill>
      <xdr:spPr>
        <a:xfrm>
          <a:off x="1473480" y="2080800"/>
          <a:ext cx="6062760" cy="4368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384480</xdr:colOff>
      <xdr:row>236</xdr:row>
      <xdr:rowOff>33120</xdr:rowOff>
    </xdr:from>
    <xdr:to>
      <xdr:col>10</xdr:col>
      <xdr:colOff>959400</xdr:colOff>
      <xdr:row>239</xdr:row>
      <xdr:rowOff>109080</xdr:rowOff>
    </xdr:to>
    <xdr:pic>
      <xdr:nvPicPr>
        <xdr:cNvPr id="3" name="Picture 1"/>
        <xdr:cNvPicPr/>
      </xdr:nvPicPr>
      <xdr:blipFill>
        <a:blip r:embed="rId1"/>
        <a:stretch/>
      </xdr:blipFill>
      <xdr:spPr>
        <a:xfrm>
          <a:off x="5153400" y="42791400"/>
          <a:ext cx="6317640" cy="66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10</xdr:col>
      <xdr:colOff>980640</xdr:colOff>
      <xdr:row>235</xdr:row>
      <xdr:rowOff>49320</xdr:rowOff>
    </xdr:from>
    <xdr:to>
      <xdr:col>15</xdr:col>
      <xdr:colOff>397800</xdr:colOff>
      <xdr:row>243</xdr:row>
      <xdr:rowOff>172800</xdr:rowOff>
    </xdr:to>
    <xdr:pic>
      <xdr:nvPicPr>
        <xdr:cNvPr id="4" name="Picture 2"/>
        <xdr:cNvPicPr/>
      </xdr:nvPicPr>
      <xdr:blipFill>
        <a:blip r:embed="rId2"/>
        <a:stretch/>
      </xdr:blipFill>
      <xdr:spPr>
        <a:xfrm>
          <a:off x="11492280" y="42626880"/>
          <a:ext cx="5870880" cy="1667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tweb.com/search/datasheet.aspx?MatGUID=afc003f4fb40465fa3df05129f0e88e6&amp;ckck=1" TargetMode="External"/><Relationship Id="rId2" Type="http://schemas.openxmlformats.org/officeDocument/2006/relationships/hyperlink" Target="https://www.researchgate.net/publication/343187872_Effect_Variations_And_Types_of_Smaw_Welding_Electrodes_on_A36_Steel_to_Tensile_Test" TargetMode="External"/><Relationship Id="rId3" Type="http://schemas.openxmlformats.org/officeDocument/2006/relationships/hyperlink" Target="https://gengfeisteel.com/knowledge/astm-a36-steel/" TargetMode="External"/><Relationship Id="rId4" Type="http://schemas.openxmlformats.org/officeDocument/2006/relationships/hyperlink" Target="https://ejournal.upbatam.ac.id/index.php/rsi/article/view/522/345" TargetMode="External"/><Relationship Id="rId5" Type="http://schemas.openxmlformats.org/officeDocument/2006/relationships/hyperlink" Target="https://ppid.kkp.go.id/upt/bppp-tegal/galeri/detail/peringatan-dini-gelombang-tinggi/" TargetMode="External"/><Relationship Id="rId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11" activeCellId="0" sqref="F11"/>
    </sheetView>
  </sheetViews>
  <sheetFormatPr defaultColWidth="8.3046875" defaultRowHeight="14.25" customHeight="false" zeroHeight="false" outlineLevelRow="0" outlineLevelCol="0"/>
  <cols>
    <col collapsed="false" customWidth="true" hidden="false" outlineLevel="0" max="3" min="3" style="0" width="11.09"/>
  </cols>
  <sheetData>
    <row r="1" customFormat="false" ht="14.25" hidden="false" customHeight="false" outlineLevel="0" collapsed="false">
      <c r="B1" s="1" t="s">
        <v>0</v>
      </c>
      <c r="C1" s="1"/>
    </row>
    <row r="2" customFormat="false" ht="14.25" hidden="false" customHeight="false" outlineLevel="0" collapsed="false">
      <c r="B2" s="1" t="s">
        <v>1</v>
      </c>
      <c r="C2" s="1" t="s">
        <v>2</v>
      </c>
      <c r="D2" s="0" t="n">
        <v>100.58</v>
      </c>
      <c r="G2" s="0" t="s">
        <v>3</v>
      </c>
      <c r="H2" s="2" t="s">
        <v>4</v>
      </c>
    </row>
    <row r="3" customFormat="false" ht="14.25" hidden="false" customHeight="false" outlineLevel="0" collapsed="false">
      <c r="B3" s="1" t="s">
        <v>5</v>
      </c>
      <c r="C3" s="1" t="s">
        <v>6</v>
      </c>
      <c r="D3" s="0" t="n">
        <v>27.432</v>
      </c>
      <c r="G3" s="0" t="s">
        <v>7</v>
      </c>
      <c r="H3" s="2" t="s">
        <v>8</v>
      </c>
    </row>
    <row r="4" customFormat="false" ht="14.25" hidden="false" customHeight="false" outlineLevel="0" collapsed="false">
      <c r="B4" s="1" t="s">
        <v>9</v>
      </c>
      <c r="C4" s="1" t="s">
        <v>10</v>
      </c>
      <c r="D4" s="0" t="n">
        <v>6.096</v>
      </c>
      <c r="G4" s="0" t="s">
        <v>11</v>
      </c>
      <c r="H4" s="2" t="s">
        <v>8</v>
      </c>
    </row>
    <row r="5" customFormat="false" ht="14.25" hidden="false" customHeight="false" outlineLevel="0" collapsed="false">
      <c r="B5" s="1" t="s">
        <v>12</v>
      </c>
      <c r="C5" s="1" t="s">
        <v>13</v>
      </c>
      <c r="D5" s="0" t="n">
        <v>4.797</v>
      </c>
    </row>
  </sheetData>
  <mergeCells count="1">
    <mergeCell ref="B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U5" activeCellId="0" sqref="U5"/>
    </sheetView>
  </sheetViews>
  <sheetFormatPr defaultColWidth="8.3046875" defaultRowHeight="14.25" customHeight="false" zeroHeight="false" outlineLevelRow="0" outlineLevelCol="0"/>
  <cols>
    <col collapsed="false" customWidth="true" hidden="false" outlineLevel="0" max="1" min="1" style="0" width="17.36"/>
  </cols>
  <sheetData>
    <row r="1" customFormat="false" ht="14.25" hidden="false" customHeight="false" outlineLevel="0" collapsed="false">
      <c r="A1" s="0" t="s">
        <v>14</v>
      </c>
    </row>
    <row r="2" customFormat="false" ht="14.25" hidden="false" customHeight="false" outlineLevel="0" collapsed="false">
      <c r="B2" s="0" t="s">
        <v>15</v>
      </c>
    </row>
    <row r="3" customFormat="false" ht="16.15" hidden="false" customHeight="false" outlineLevel="0" collapsed="false">
      <c r="C3" s="3" t="s">
        <v>16</v>
      </c>
    </row>
    <row r="4" customFormat="false" ht="16.15" hidden="false" customHeight="false" outlineLevel="0" collapsed="false">
      <c r="C4" s="3" t="s">
        <v>17</v>
      </c>
    </row>
    <row r="5" customFormat="false" ht="16.15" hidden="false" customHeight="false" outlineLevel="0" collapsed="false">
      <c r="C5" s="3" t="s">
        <v>18</v>
      </c>
    </row>
    <row r="6" customFormat="false" ht="16.15" hidden="false" customHeight="false" outlineLevel="0" collapsed="false">
      <c r="C6" s="3" t="s">
        <v>19</v>
      </c>
    </row>
    <row r="8" customFormat="false" ht="16.15" hidden="false" customHeight="false" outlineLevel="0" collapsed="false">
      <c r="C8" s="3" t="s">
        <v>20</v>
      </c>
    </row>
  </sheetData>
  <hyperlinks>
    <hyperlink ref="C3" r:id="rId1" display="https://www.matweb.com/search/datasheet.aspx?MatGUID=afc003f4fb40465fa3df05129f0e88e6&amp;ckck=1"/>
    <hyperlink ref="C4" r:id="rId2" display="https://www.researchgate.net/publication/343187872_Effect_Variations_And_Types_of_Smaw_Welding_Electrodes_on_A36_Steel_to_Tensile_Test"/>
    <hyperlink ref="C5" r:id="rId3" display="https://gengfeisteel.com/knowledge/astm-a36-steel/"/>
    <hyperlink ref="C6" r:id="rId4" display="https://ejournal.upbatam.ac.id/index.php/rsi/article/view/522/345"/>
    <hyperlink ref="C8" r:id="rId5" display="https://ppid.kkp.go.id/upt/bppp-tegal/galeri/detail/peringatan-dini-gelombang-tinggi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7" topLeftCell="B116" activePane="bottomRight" state="frozen"/>
      <selection pane="topLeft" activeCell="A1" activeCellId="0" sqref="A1"/>
      <selection pane="topRight" activeCell="B1" activeCellId="0" sqref="B1"/>
      <selection pane="bottomLeft" activeCell="A116" activeCellId="0" sqref="A116"/>
      <selection pane="bottomRight" activeCell="P98" activeCellId="0" sqref="P98"/>
    </sheetView>
  </sheetViews>
  <sheetFormatPr defaultColWidth="8.3046875" defaultRowHeight="14.25" customHeight="false" zeroHeight="false" outlineLevelRow="0" outlineLevelCol="0"/>
  <cols>
    <col collapsed="false" customWidth="true" hidden="false" outlineLevel="0" max="2" min="2" style="0" width="26.18"/>
    <col collapsed="false" customWidth="true" hidden="false" outlineLevel="0" max="3" min="3" style="0" width="16.82"/>
    <col collapsed="false" customWidth="true" hidden="false" outlineLevel="0" max="6" min="6" style="0" width="17.36"/>
    <col collapsed="false" customWidth="true" hidden="false" outlineLevel="0" max="7" min="7" style="0" width="10.45"/>
    <col collapsed="false" customWidth="true" hidden="false" outlineLevel="0" max="9" min="9" style="0" width="10.82"/>
    <col collapsed="false" customWidth="true" hidden="false" outlineLevel="0" max="10" min="10" style="0" width="16.54"/>
    <col collapsed="false" customWidth="true" hidden="false" outlineLevel="0" max="11" min="11" style="0" width="16.9"/>
    <col collapsed="false" customWidth="true" hidden="false" outlineLevel="0" max="12" min="12" style="0" width="17"/>
    <col collapsed="false" customWidth="true" hidden="false" outlineLevel="0" max="13" min="13" style="0" width="20.36"/>
    <col collapsed="false" customWidth="true" hidden="false" outlineLevel="0" max="14" min="14" style="0" width="18.09"/>
  </cols>
  <sheetData>
    <row r="1" customFormat="false" ht="14.25" hidden="false" customHeight="false" outlineLevel="0" collapsed="false">
      <c r="B1" s="0" t="s">
        <v>21</v>
      </c>
      <c r="C1" s="0" t="s">
        <v>22</v>
      </c>
      <c r="E1" s="0" t="s">
        <v>23</v>
      </c>
    </row>
    <row r="4" customFormat="false" ht="14.25" hidden="false" customHeight="true" outlineLevel="0" collapsed="false">
      <c r="A4" s="4" t="s">
        <v>24</v>
      </c>
      <c r="B4" s="5" t="s">
        <v>25</v>
      </c>
      <c r="C4" s="6" t="s">
        <v>26</v>
      </c>
      <c r="D4" s="4" t="s">
        <v>27</v>
      </c>
      <c r="E4" s="5" t="s">
        <v>28</v>
      </c>
      <c r="F4" s="4" t="s">
        <v>29</v>
      </c>
      <c r="G4" s="7" t="s">
        <v>30</v>
      </c>
      <c r="H4" s="8" t="s">
        <v>31</v>
      </c>
      <c r="I4" s="9" t="s">
        <v>32</v>
      </c>
      <c r="J4" s="10" t="s">
        <v>33</v>
      </c>
      <c r="K4" s="9" t="s">
        <v>34</v>
      </c>
      <c r="L4" s="10"/>
      <c r="M4" s="11"/>
      <c r="N4" s="9" t="s">
        <v>35</v>
      </c>
    </row>
    <row r="5" customFormat="false" ht="14.25" hidden="false" customHeight="false" outlineLevel="0" collapsed="false">
      <c r="A5" s="4"/>
      <c r="B5" s="5"/>
      <c r="C5" s="6"/>
      <c r="D5" s="4"/>
      <c r="E5" s="5"/>
      <c r="F5" s="12" t="s">
        <v>36</v>
      </c>
      <c r="G5" s="7"/>
      <c r="H5" s="8"/>
      <c r="I5" s="9"/>
      <c r="J5" s="10"/>
      <c r="K5" s="9"/>
      <c r="L5" s="13"/>
      <c r="M5" s="14"/>
      <c r="N5" s="9"/>
    </row>
    <row r="6" customFormat="false" ht="14.25" hidden="false" customHeight="false" outlineLevel="0" collapsed="false">
      <c r="A6" s="4"/>
      <c r="B6" s="5"/>
      <c r="C6" s="15"/>
      <c r="D6" s="16" t="s">
        <v>37</v>
      </c>
      <c r="E6" s="17" t="s">
        <v>38</v>
      </c>
      <c r="F6" s="16" t="s">
        <v>39</v>
      </c>
      <c r="G6" s="17" t="s">
        <v>40</v>
      </c>
      <c r="H6" s="17" t="s">
        <v>41</v>
      </c>
      <c r="I6" s="16" t="s">
        <v>38</v>
      </c>
      <c r="J6" s="17" t="s">
        <v>42</v>
      </c>
      <c r="K6" s="16" t="s">
        <v>43</v>
      </c>
      <c r="L6" s="18" t="s">
        <v>44</v>
      </c>
      <c r="M6" s="19" t="s">
        <v>45</v>
      </c>
      <c r="N6" s="20" t="s">
        <v>46</v>
      </c>
    </row>
    <row r="7" customFormat="false" ht="14.25" hidden="false" customHeight="false" outlineLevel="0" collapsed="false">
      <c r="A7" s="4"/>
      <c r="B7" s="5"/>
      <c r="C7" s="21" t="s">
        <v>47</v>
      </c>
      <c r="D7" s="16" t="s">
        <v>48</v>
      </c>
      <c r="E7" s="17" t="s">
        <v>49</v>
      </c>
      <c r="F7" s="16" t="s">
        <v>50</v>
      </c>
      <c r="G7" s="17" t="s">
        <v>51</v>
      </c>
      <c r="H7" s="17" t="s">
        <v>52</v>
      </c>
      <c r="I7" s="16" t="s">
        <v>53</v>
      </c>
      <c r="J7" s="17" t="s">
        <v>54</v>
      </c>
      <c r="K7" s="16" t="s">
        <v>55</v>
      </c>
      <c r="L7" s="17" t="s">
        <v>56</v>
      </c>
      <c r="M7" s="22" t="s">
        <v>57</v>
      </c>
      <c r="N7" s="16" t="s">
        <v>58</v>
      </c>
    </row>
    <row r="9" customFormat="false" ht="14.25" hidden="false" customHeight="false" outlineLevel="0" collapsed="false">
      <c r="B9" s="0" t="s">
        <v>59</v>
      </c>
    </row>
    <row r="10" customFormat="false" ht="14.25" hidden="false" customHeight="false" outlineLevel="0" collapsed="false">
      <c r="B10" s="2" t="s">
        <v>60</v>
      </c>
      <c r="C10" s="0" t="n">
        <v>2</v>
      </c>
      <c r="D10" s="0" t="n">
        <v>0.9</v>
      </c>
      <c r="E10" s="0" t="n">
        <v>15</v>
      </c>
      <c r="F10" s="0" t="n">
        <v>0</v>
      </c>
      <c r="G10" s="0" t="n">
        <f aca="false">IF(C10="","",C10*D10*E10)</f>
        <v>27</v>
      </c>
      <c r="H10" s="0" t="n">
        <v>0</v>
      </c>
      <c r="I10" s="0" t="n">
        <f aca="false">H10+(E10/2)</f>
        <v>7.5</v>
      </c>
      <c r="J10" s="0" t="n">
        <f aca="false">IF(C10="","",G10*I10)</f>
        <v>202.5</v>
      </c>
      <c r="K10" s="0" t="n">
        <f aca="false">IF(C10="","",G10*I10^2)</f>
        <v>1518.75</v>
      </c>
      <c r="L10" s="0" t="n">
        <f aca="false">IF(C10="","",1/12*D10*E10^3*(COS(DEGREES(F10)))^2)</f>
        <v>253.125</v>
      </c>
      <c r="M10" s="0" t="n">
        <f aca="false">IF(C10="","",1/12*D10*E10^3*(SIN(DEGREES(F10)))^2)</f>
        <v>0</v>
      </c>
      <c r="N10" s="0" t="n">
        <f aca="false">IF(C10="","",L10+M10)</f>
        <v>253.125</v>
      </c>
    </row>
    <row r="11" customFormat="false" ht="14.25" hidden="false" customHeight="false" outlineLevel="0" collapsed="false">
      <c r="B11" s="2" t="s">
        <v>61</v>
      </c>
      <c r="C11" s="0" t="n">
        <v>2</v>
      </c>
      <c r="D11" s="0" t="n">
        <v>8.1</v>
      </c>
      <c r="E11" s="0" t="n">
        <v>0.9</v>
      </c>
      <c r="F11" s="0" t="n">
        <v>0</v>
      </c>
      <c r="G11" s="0" t="n">
        <f aca="false">IF(C11="","",C11*D11*E11)</f>
        <v>14.58</v>
      </c>
      <c r="H11" s="0" t="n">
        <v>0</v>
      </c>
      <c r="I11" s="0" t="n">
        <f aca="false">H11+(E11/2)</f>
        <v>0.45</v>
      </c>
      <c r="J11" s="0" t="n">
        <f aca="false">IF(C11="","",G11*I11)</f>
        <v>6.561</v>
      </c>
      <c r="K11" s="0" t="n">
        <f aca="false">IF(C11="","",G11*I11^2)</f>
        <v>2.95245</v>
      </c>
      <c r="L11" s="0" t="n">
        <f aca="false">IF(C11="","",1/12*D11*E11^3*(COS(DEGREES(F11)))^2)</f>
        <v>0.492075</v>
      </c>
      <c r="M11" s="0" t="n">
        <f aca="false">IF(C11="","",1/12*D11*E11^3*(SIN(DEGREES(F11)))^2)</f>
        <v>0</v>
      </c>
      <c r="N11" s="0" t="n">
        <f aca="false">IF(C11="","",L11+M11)</f>
        <v>0.492075</v>
      </c>
    </row>
    <row r="12" customFormat="false" ht="14.25" hidden="false" customHeight="false" outlineLevel="0" collapsed="false">
      <c r="B12" s="0" t="s">
        <v>62</v>
      </c>
      <c r="G12" s="0" t="str">
        <f aca="false">IF(C12="","",C12*D12*E12)</f>
        <v/>
      </c>
      <c r="J12" s="0" t="str">
        <f aca="false">IF(C12="","",G12*I12)</f>
        <v/>
      </c>
      <c r="K12" s="0" t="str">
        <f aca="false">IF(C12="","",G12*I12^2)</f>
        <v/>
      </c>
      <c r="L12" s="0" t="str">
        <f aca="false">IF(C12="","",1/12*D12*E12^3*(COS(DEGREES(F12)))^2)</f>
        <v/>
      </c>
      <c r="M12" s="0" t="str">
        <f aca="false">IF(C12="","",1/12*D12*E12^3*(SIN(DEGREES(F12)))^2)</f>
        <v/>
      </c>
      <c r="N12" s="0" t="str">
        <f aca="false">IF(C12="","",L12+M12)</f>
        <v/>
      </c>
    </row>
    <row r="13" customFormat="false" ht="14.25" hidden="false" customHeight="false" outlineLevel="0" collapsed="false">
      <c r="B13" s="2" t="s">
        <v>60</v>
      </c>
      <c r="C13" s="0" t="n">
        <v>2</v>
      </c>
      <c r="D13" s="0" t="n">
        <v>0.9</v>
      </c>
      <c r="E13" s="0" t="n">
        <v>15</v>
      </c>
      <c r="F13" s="0" t="n">
        <v>0</v>
      </c>
      <c r="G13" s="0" t="n">
        <f aca="false">IF(C13="","",C13*D13*E13)</f>
        <v>27</v>
      </c>
      <c r="H13" s="0" t="n">
        <v>0</v>
      </c>
      <c r="I13" s="0" t="n">
        <f aca="false">H13+(E13/2)</f>
        <v>7.5</v>
      </c>
      <c r="J13" s="0" t="n">
        <f aca="false">IF(C13="","",G13*I13)</f>
        <v>202.5</v>
      </c>
      <c r="K13" s="0" t="n">
        <f aca="false">IF(C13="","",G13*I13^2)</f>
        <v>1518.75</v>
      </c>
      <c r="L13" s="0" t="n">
        <f aca="false">IF(C13="","",1/12*D13*E13^3*(COS(DEGREES(F13)))^2)</f>
        <v>253.125</v>
      </c>
      <c r="M13" s="0" t="n">
        <f aca="false">IF(C13="","",1/12*D13*E13^3*(SIN(DEGREES(F13)))^2)</f>
        <v>0</v>
      </c>
      <c r="N13" s="0" t="n">
        <f aca="false">IF(C13="","",L13+M13)</f>
        <v>253.125</v>
      </c>
    </row>
    <row r="14" customFormat="false" ht="14.25" hidden="false" customHeight="false" outlineLevel="0" collapsed="false">
      <c r="B14" s="2" t="s">
        <v>61</v>
      </c>
      <c r="C14" s="0" t="n">
        <v>2</v>
      </c>
      <c r="D14" s="0" t="n">
        <v>8.1</v>
      </c>
      <c r="E14" s="0" t="n">
        <v>0.9</v>
      </c>
      <c r="F14" s="0" t="n">
        <v>0</v>
      </c>
      <c r="G14" s="0" t="n">
        <f aca="false">IF(C14="","",C14*D14*E14)</f>
        <v>14.58</v>
      </c>
      <c r="H14" s="0" t="n">
        <v>0</v>
      </c>
      <c r="I14" s="0" t="n">
        <f aca="false">H14+(E14/2)</f>
        <v>0.45</v>
      </c>
      <c r="J14" s="0" t="n">
        <f aca="false">IF(C14="","",G14*I14)</f>
        <v>6.561</v>
      </c>
      <c r="K14" s="0" t="n">
        <f aca="false">IF(C14="","",G14*I14^2)</f>
        <v>2.95245</v>
      </c>
      <c r="L14" s="0" t="n">
        <f aca="false">IF(C14="","",1/12*D14*E14^3*(COS(DEGREES(F14)))^2)</f>
        <v>0.492075</v>
      </c>
      <c r="M14" s="0" t="n">
        <f aca="false">IF(C14="","",1/12*D14*E14^3*(SIN(DEGREES(F14)))^2)</f>
        <v>0</v>
      </c>
      <c r="N14" s="0" t="n">
        <f aca="false">IF(C14="","",L14+M14)</f>
        <v>0.492075</v>
      </c>
    </row>
    <row r="15" customFormat="false" ht="14.25" hidden="false" customHeight="false" outlineLevel="0" collapsed="false">
      <c r="B15" s="0" t="s">
        <v>63</v>
      </c>
      <c r="G15" s="0" t="str">
        <f aca="false">IF(C15="","",C15*D15*E15)</f>
        <v/>
      </c>
      <c r="J15" s="0" t="str">
        <f aca="false">IF(C15="","",G15*I15)</f>
        <v/>
      </c>
      <c r="K15" s="0" t="str">
        <f aca="false">IF(C15="","",G15*I15^2)</f>
        <v/>
      </c>
      <c r="L15" s="0" t="str">
        <f aca="false">IF(C15="","",1/12*D15*E15^3*(COS(DEGREES(F15)))^2)</f>
        <v/>
      </c>
      <c r="M15" s="0" t="str">
        <f aca="false">IF(C15="","",1/12*D15*E15^3*(SIN(DEGREES(F15)))^2)</f>
        <v/>
      </c>
      <c r="N15" s="0" t="str">
        <f aca="false">IF(C15="","",L15+M15)</f>
        <v/>
      </c>
    </row>
    <row r="16" customFormat="false" ht="14.25" hidden="false" customHeight="false" outlineLevel="0" collapsed="false">
      <c r="B16" s="2" t="s">
        <v>60</v>
      </c>
      <c r="C16" s="0" t="n">
        <v>2</v>
      </c>
      <c r="D16" s="0" t="n">
        <v>0.9</v>
      </c>
      <c r="E16" s="0" t="n">
        <v>15</v>
      </c>
      <c r="F16" s="0" t="n">
        <v>0</v>
      </c>
      <c r="G16" s="0" t="n">
        <f aca="false">IF(C16="","",C16*D16*E16)</f>
        <v>27</v>
      </c>
      <c r="H16" s="0" t="n">
        <v>0</v>
      </c>
      <c r="I16" s="0" t="n">
        <f aca="false">H16+(E16/2)</f>
        <v>7.5</v>
      </c>
      <c r="J16" s="0" t="n">
        <f aca="false">IF(C16="","",G16*I16)</f>
        <v>202.5</v>
      </c>
      <c r="K16" s="0" t="n">
        <f aca="false">IF(C16="","",G16*I16^2)</f>
        <v>1518.75</v>
      </c>
      <c r="L16" s="0" t="n">
        <f aca="false">IF(C16="","",1/12*D16*E16^3*(COS(DEGREES(F16)))^2)</f>
        <v>253.125</v>
      </c>
      <c r="M16" s="0" t="n">
        <f aca="false">IF(C16="","",1/12*D16*E16^3*(SIN(DEGREES(F16)))^2)</f>
        <v>0</v>
      </c>
      <c r="N16" s="0" t="n">
        <f aca="false">IF(C16="","",L16+M16)</f>
        <v>253.125</v>
      </c>
    </row>
    <row r="17" customFormat="false" ht="14.25" hidden="false" customHeight="false" outlineLevel="0" collapsed="false">
      <c r="B17" s="2" t="s">
        <v>61</v>
      </c>
      <c r="C17" s="0" t="n">
        <v>2</v>
      </c>
      <c r="D17" s="0" t="n">
        <v>8.1</v>
      </c>
      <c r="E17" s="0" t="n">
        <v>0.9</v>
      </c>
      <c r="F17" s="0" t="n">
        <v>0</v>
      </c>
      <c r="G17" s="0" t="n">
        <f aca="false">IF(C17="","",C17*D17*E17)</f>
        <v>14.58</v>
      </c>
      <c r="H17" s="0" t="n">
        <v>0</v>
      </c>
      <c r="I17" s="0" t="n">
        <f aca="false">H17+(E17/2)</f>
        <v>0.45</v>
      </c>
      <c r="J17" s="0" t="n">
        <f aca="false">IF(C17="","",G17*I17)</f>
        <v>6.561</v>
      </c>
      <c r="K17" s="0" t="n">
        <f aca="false">IF(C17="","",G17*I17^2)</f>
        <v>2.95245</v>
      </c>
      <c r="L17" s="0" t="n">
        <f aca="false">IF(C17="","",1/12*D17*E17^3*(COS(DEGREES(F17)))^2)</f>
        <v>0.492075</v>
      </c>
      <c r="M17" s="0" t="n">
        <f aca="false">IF(C17="","",1/12*D17*E17^3*(SIN(DEGREES(F17)))^2)</f>
        <v>0</v>
      </c>
      <c r="N17" s="0" t="n">
        <f aca="false">IF(C17="","",L17+M17)</f>
        <v>0.492075</v>
      </c>
    </row>
    <row r="18" customFormat="false" ht="14.25" hidden="false" customHeight="false" outlineLevel="0" collapsed="false">
      <c r="B18" s="0" t="s">
        <v>64</v>
      </c>
      <c r="G18" s="0" t="str">
        <f aca="false">IF(C18="","",C18*D18*E18)</f>
        <v/>
      </c>
      <c r="J18" s="0" t="str">
        <f aca="false">IF(C18="","",G18*I18)</f>
        <v/>
      </c>
      <c r="K18" s="0" t="str">
        <f aca="false">IF(C18="","",G18*I18^2)</f>
        <v/>
      </c>
      <c r="L18" s="0" t="str">
        <f aca="false">IF(C18="","",1/12*D18*E18^3*(COS(DEGREES(F18)))^2)</f>
        <v/>
      </c>
      <c r="M18" s="0" t="str">
        <f aca="false">IF(C18="","",1/12*D18*E18^3*(SIN(DEGREES(F18)))^2)</f>
        <v/>
      </c>
      <c r="N18" s="0" t="str">
        <f aca="false">IF(C18="","",L18+M18)</f>
        <v/>
      </c>
    </row>
    <row r="19" customFormat="false" ht="14.25" hidden="false" customHeight="false" outlineLevel="0" collapsed="false">
      <c r="B19" s="2" t="s">
        <v>60</v>
      </c>
      <c r="C19" s="0" t="n">
        <v>2</v>
      </c>
      <c r="D19" s="0" t="n">
        <v>0.9</v>
      </c>
      <c r="E19" s="0" t="n">
        <v>15</v>
      </c>
      <c r="F19" s="0" t="n">
        <v>0</v>
      </c>
      <c r="G19" s="0" t="n">
        <f aca="false">IF(C19="","",C19*D19*E19)</f>
        <v>27</v>
      </c>
      <c r="H19" s="0" t="n">
        <v>0</v>
      </c>
      <c r="I19" s="0" t="n">
        <f aca="false">H19+(E19/2)</f>
        <v>7.5</v>
      </c>
      <c r="J19" s="0" t="n">
        <f aca="false">IF(C19="","",G19*I19)</f>
        <v>202.5</v>
      </c>
      <c r="K19" s="0" t="n">
        <f aca="false">IF(C19="","",G19*I19^2)</f>
        <v>1518.75</v>
      </c>
      <c r="L19" s="0" t="n">
        <f aca="false">IF(C19="","",1/12*D19*E19^3*(COS(DEGREES(F19)))^2)</f>
        <v>253.125</v>
      </c>
      <c r="M19" s="0" t="n">
        <f aca="false">IF(C19="","",1/12*D19*E19^3*(SIN(DEGREES(F19)))^2)</f>
        <v>0</v>
      </c>
      <c r="N19" s="0" t="n">
        <f aca="false">IF(C19="","",L19+M19)</f>
        <v>253.125</v>
      </c>
    </row>
    <row r="20" customFormat="false" ht="14.25" hidden="false" customHeight="false" outlineLevel="0" collapsed="false">
      <c r="B20" s="2" t="s">
        <v>61</v>
      </c>
      <c r="C20" s="0" t="n">
        <v>2</v>
      </c>
      <c r="D20" s="0" t="n">
        <v>8.1</v>
      </c>
      <c r="E20" s="0" t="n">
        <v>0.9</v>
      </c>
      <c r="F20" s="0" t="n">
        <v>0</v>
      </c>
      <c r="G20" s="0" t="n">
        <f aca="false">IF(C20="","",C20*D20*E20)</f>
        <v>14.58</v>
      </c>
      <c r="H20" s="0" t="n">
        <v>0</v>
      </c>
      <c r="I20" s="0" t="n">
        <f aca="false">H20+(E20/2)</f>
        <v>0.45</v>
      </c>
      <c r="J20" s="0" t="n">
        <f aca="false">IF(C20="","",G20*I20)</f>
        <v>6.561</v>
      </c>
      <c r="K20" s="0" t="n">
        <f aca="false">IF(C20="","",G20*I20^2)</f>
        <v>2.95245</v>
      </c>
      <c r="L20" s="0" t="n">
        <f aca="false">IF(C20="","",1/12*D20*E20^3*(COS(DEGREES(F20)))^2)</f>
        <v>0.492075</v>
      </c>
      <c r="M20" s="0" t="n">
        <f aca="false">IF(C20="","",1/12*D20*E20^3*(SIN(DEGREES(F20)))^2)</f>
        <v>0</v>
      </c>
      <c r="N20" s="0" t="n">
        <f aca="false">IF(C20="","",L20+M20)</f>
        <v>0.492075</v>
      </c>
    </row>
    <row r="21" customFormat="false" ht="14.25" hidden="false" customHeight="false" outlineLevel="0" collapsed="false">
      <c r="B21" s="0" t="s">
        <v>65</v>
      </c>
      <c r="G21" s="0" t="str">
        <f aca="false">IF(C21="","",C21*D21*E21)</f>
        <v/>
      </c>
      <c r="J21" s="0" t="str">
        <f aca="false">IF(C21="","",G21*I21)</f>
        <v/>
      </c>
      <c r="K21" s="0" t="str">
        <f aca="false">IF(C21="","",G21*I21^2)</f>
        <v/>
      </c>
      <c r="L21" s="0" t="str">
        <f aca="false">IF(C21="","",1/12*D21*E21^3*(COS(DEGREES(F21)))^2)</f>
        <v/>
      </c>
      <c r="M21" s="0" t="str">
        <f aca="false">IF(C21="","",1/12*D21*E21^3*(SIN(DEGREES(F21)))^2)</f>
        <v/>
      </c>
      <c r="N21" s="0" t="str">
        <f aca="false">IF(C21="","",L21+M21)</f>
        <v/>
      </c>
    </row>
    <row r="22" customFormat="false" ht="14.25" hidden="false" customHeight="false" outlineLevel="0" collapsed="false">
      <c r="B22" s="2" t="s">
        <v>60</v>
      </c>
      <c r="C22" s="0" t="n">
        <v>2</v>
      </c>
      <c r="D22" s="0" t="n">
        <v>0.9</v>
      </c>
      <c r="E22" s="0" t="n">
        <v>15</v>
      </c>
      <c r="F22" s="0" t="n">
        <v>0</v>
      </c>
      <c r="G22" s="0" t="n">
        <f aca="false">IF(C22="","",C22*D22*E22)</f>
        <v>27</v>
      </c>
      <c r="H22" s="0" t="n">
        <v>0</v>
      </c>
      <c r="I22" s="0" t="n">
        <f aca="false">H22+(E22/2)</f>
        <v>7.5</v>
      </c>
      <c r="J22" s="0" t="n">
        <f aca="false">IF(C22="","",G22*I22)</f>
        <v>202.5</v>
      </c>
      <c r="K22" s="0" t="n">
        <f aca="false">IF(C22="","",G22*I22^2)</f>
        <v>1518.75</v>
      </c>
      <c r="L22" s="0" t="n">
        <f aca="false">IF(C22="","",1/12*D22*E22^3*(COS(DEGREES(F22)))^2)</f>
        <v>253.125</v>
      </c>
      <c r="M22" s="0" t="n">
        <f aca="false">IF(C22="","",1/12*D22*E22^3*(SIN(DEGREES(F22)))^2)</f>
        <v>0</v>
      </c>
      <c r="N22" s="0" t="n">
        <f aca="false">IF(C22="","",L22+M22)</f>
        <v>253.125</v>
      </c>
    </row>
    <row r="23" customFormat="false" ht="14.25" hidden="false" customHeight="false" outlineLevel="0" collapsed="false">
      <c r="B23" s="2" t="s">
        <v>61</v>
      </c>
      <c r="C23" s="0" t="n">
        <v>2</v>
      </c>
      <c r="D23" s="0" t="n">
        <v>8.1</v>
      </c>
      <c r="E23" s="0" t="n">
        <v>0.9</v>
      </c>
      <c r="F23" s="0" t="n">
        <v>0</v>
      </c>
      <c r="G23" s="0" t="n">
        <f aca="false">IF(C23="","",C23*D23*E23)</f>
        <v>14.58</v>
      </c>
      <c r="H23" s="0" t="n">
        <v>0</v>
      </c>
      <c r="I23" s="0" t="n">
        <f aca="false">H23+(E23/2)</f>
        <v>0.45</v>
      </c>
      <c r="J23" s="0" t="n">
        <f aca="false">IF(C23="","",G23*I23)</f>
        <v>6.561</v>
      </c>
      <c r="K23" s="0" t="n">
        <f aca="false">IF(C23="","",G23*I23^2)</f>
        <v>2.95245</v>
      </c>
      <c r="L23" s="0" t="n">
        <f aca="false">IF(C23="","",1/12*D23*E23^3*(COS(DEGREES(F23)))^2)</f>
        <v>0.492075</v>
      </c>
      <c r="M23" s="0" t="n">
        <f aca="false">IF(C23="","",1/12*D23*E23^3*(SIN(DEGREES(F23)))^2)</f>
        <v>0</v>
      </c>
      <c r="N23" s="0" t="n">
        <f aca="false">IF(C23="","",L23+M23)</f>
        <v>0.492075</v>
      </c>
    </row>
    <row r="24" customFormat="false" ht="14.25" hidden="false" customHeight="false" outlineLevel="0" collapsed="false">
      <c r="B24" s="0" t="s">
        <v>66</v>
      </c>
      <c r="G24" s="0" t="str">
        <f aca="false">IF(C24="","",C24*D24*E24)</f>
        <v/>
      </c>
      <c r="J24" s="0" t="str">
        <f aca="false">IF(C24="","",G24*I24)</f>
        <v/>
      </c>
      <c r="K24" s="0" t="str">
        <f aca="false">IF(C24="","",G24*I24^2)</f>
        <v/>
      </c>
      <c r="L24" s="0" t="str">
        <f aca="false">IF(C24="","",1/12*D24*E24^3*(COS(DEGREES(F24)))^2)</f>
        <v/>
      </c>
      <c r="M24" s="0" t="str">
        <f aca="false">IF(C24="","",1/12*D24*E24^3*(SIN(DEGREES(F24)))^2)</f>
        <v/>
      </c>
      <c r="N24" s="0" t="str">
        <f aca="false">IF(C24="","",L24+M24)</f>
        <v/>
      </c>
    </row>
    <row r="25" customFormat="false" ht="14.25" hidden="false" customHeight="false" outlineLevel="0" collapsed="false">
      <c r="B25" s="2" t="s">
        <v>60</v>
      </c>
      <c r="C25" s="0" t="n">
        <v>2</v>
      </c>
      <c r="D25" s="0" t="n">
        <v>0.9</v>
      </c>
      <c r="E25" s="0" t="n">
        <v>15</v>
      </c>
      <c r="F25" s="0" t="n">
        <v>0</v>
      </c>
      <c r="G25" s="0" t="n">
        <f aca="false">IF(C25="","",C25*D25*E25)</f>
        <v>27</v>
      </c>
      <c r="H25" s="0" t="n">
        <v>0</v>
      </c>
      <c r="I25" s="0" t="n">
        <f aca="false">H25+(E25/2)</f>
        <v>7.5</v>
      </c>
      <c r="J25" s="0" t="n">
        <f aca="false">IF(C25="","",G25*I25)</f>
        <v>202.5</v>
      </c>
      <c r="K25" s="0" t="n">
        <f aca="false">IF(C25="","",G25*I25^2)</f>
        <v>1518.75</v>
      </c>
      <c r="L25" s="0" t="n">
        <f aca="false">IF(C25="","",1/12*D25*E25^3*(COS(DEGREES(F25)))^2)</f>
        <v>253.125</v>
      </c>
      <c r="M25" s="0" t="n">
        <f aca="false">IF(C25="","",1/12*D25*E25^3*(SIN(DEGREES(F25)))^2)</f>
        <v>0</v>
      </c>
      <c r="N25" s="0" t="n">
        <f aca="false">IF(C25="","",L25+M25)</f>
        <v>253.125</v>
      </c>
    </row>
    <row r="26" customFormat="false" ht="14.25" hidden="false" customHeight="false" outlineLevel="0" collapsed="false">
      <c r="B26" s="2" t="s">
        <v>61</v>
      </c>
      <c r="C26" s="0" t="n">
        <v>2</v>
      </c>
      <c r="D26" s="0" t="n">
        <v>8.1</v>
      </c>
      <c r="E26" s="0" t="n">
        <v>0.9</v>
      </c>
      <c r="F26" s="0" t="n">
        <v>0</v>
      </c>
      <c r="G26" s="0" t="n">
        <f aca="false">IF(C26="","",C26*D26*E26)</f>
        <v>14.58</v>
      </c>
      <c r="H26" s="0" t="n">
        <v>0</v>
      </c>
      <c r="I26" s="0" t="n">
        <f aca="false">H26+(E26/2)</f>
        <v>0.45</v>
      </c>
      <c r="J26" s="0" t="n">
        <f aca="false">IF(C26="","",G26*I26)</f>
        <v>6.561</v>
      </c>
      <c r="K26" s="0" t="n">
        <f aca="false">IF(C26="","",G26*I26^2)</f>
        <v>2.95245</v>
      </c>
      <c r="L26" s="0" t="n">
        <f aca="false">IF(C26="","",1/12*D26*E26^3*(COS(DEGREES(F26)))^2)</f>
        <v>0.492075</v>
      </c>
      <c r="M26" s="0" t="n">
        <f aca="false">IF(C26="","",1/12*D26*E26^3*(SIN(DEGREES(F26)))^2)</f>
        <v>0</v>
      </c>
      <c r="N26" s="0" t="n">
        <f aca="false">IF(C26="","",L26+M26)</f>
        <v>0.492075</v>
      </c>
    </row>
    <row r="27" customFormat="false" ht="14.25" hidden="false" customHeight="false" outlineLevel="0" collapsed="false">
      <c r="B27" s="0" t="s">
        <v>67</v>
      </c>
      <c r="G27" s="0" t="str">
        <f aca="false">IF(C27="","",C27*D27*E27)</f>
        <v/>
      </c>
      <c r="J27" s="0" t="str">
        <f aca="false">IF(C27="","",G27*I27)</f>
        <v/>
      </c>
      <c r="K27" s="0" t="str">
        <f aca="false">IF(C27="","",G27*I27^2)</f>
        <v/>
      </c>
      <c r="L27" s="0" t="str">
        <f aca="false">IF(C27="","",1/12*D27*E27^3*(COS(DEGREES(F27)))^2)</f>
        <v/>
      </c>
      <c r="M27" s="0" t="str">
        <f aca="false">IF(C27="","",1/12*D27*E27^3*(SIN(DEGREES(F27)))^2)</f>
        <v/>
      </c>
      <c r="N27" s="0" t="str">
        <f aca="false">IF(C27="","",L27+M27)</f>
        <v/>
      </c>
    </row>
    <row r="28" customFormat="false" ht="14.25" hidden="false" customHeight="false" outlineLevel="0" collapsed="false">
      <c r="B28" s="2" t="s">
        <v>60</v>
      </c>
      <c r="C28" s="0" t="n">
        <v>2</v>
      </c>
      <c r="D28" s="0" t="n">
        <v>0.9</v>
      </c>
      <c r="E28" s="0" t="n">
        <v>15</v>
      </c>
      <c r="F28" s="0" t="n">
        <v>0</v>
      </c>
      <c r="G28" s="0" t="n">
        <f aca="false">IF(C28="","",C28*D28*E28)</f>
        <v>27</v>
      </c>
      <c r="H28" s="0" t="n">
        <v>0</v>
      </c>
      <c r="I28" s="0" t="n">
        <f aca="false">H28+(E28/2)</f>
        <v>7.5</v>
      </c>
      <c r="J28" s="0" t="n">
        <f aca="false">IF(C28="","",G28*I28)</f>
        <v>202.5</v>
      </c>
      <c r="K28" s="0" t="n">
        <f aca="false">IF(C28="","",G28*I28^2)</f>
        <v>1518.75</v>
      </c>
      <c r="L28" s="0" t="n">
        <f aca="false">IF(C28="","",1/12*D28*E28^3*(COS(DEGREES(F28)))^2)</f>
        <v>253.125</v>
      </c>
      <c r="M28" s="0" t="n">
        <f aca="false">IF(C28="","",1/12*D28*E28^3*(SIN(DEGREES(F28)))^2)</f>
        <v>0</v>
      </c>
      <c r="N28" s="0" t="n">
        <f aca="false">IF(C28="","",L28+M28)</f>
        <v>253.125</v>
      </c>
    </row>
    <row r="29" customFormat="false" ht="14.25" hidden="false" customHeight="false" outlineLevel="0" collapsed="false">
      <c r="B29" s="2" t="s">
        <v>61</v>
      </c>
      <c r="C29" s="0" t="n">
        <v>2</v>
      </c>
      <c r="D29" s="0" t="n">
        <v>8.1</v>
      </c>
      <c r="E29" s="0" t="n">
        <v>0.9</v>
      </c>
      <c r="F29" s="0" t="n">
        <v>0</v>
      </c>
      <c r="G29" s="0" t="n">
        <f aca="false">IF(C29="","",C29*D29*E29)</f>
        <v>14.58</v>
      </c>
      <c r="H29" s="0" t="n">
        <v>0</v>
      </c>
      <c r="I29" s="0" t="n">
        <f aca="false">H29+(E29/2)</f>
        <v>0.45</v>
      </c>
      <c r="J29" s="0" t="n">
        <f aca="false">IF(C29="","",G29*I29)</f>
        <v>6.561</v>
      </c>
      <c r="K29" s="0" t="n">
        <f aca="false">IF(C29="","",G29*I29^2)</f>
        <v>2.95245</v>
      </c>
      <c r="L29" s="0" t="n">
        <f aca="false">IF(C29="","",1/12*D29*E29^3*(COS(DEGREES(F29)))^2)</f>
        <v>0.492075</v>
      </c>
      <c r="M29" s="0" t="n">
        <f aca="false">IF(C29="","",1/12*D29*E29^3*(SIN(DEGREES(F29)))^2)</f>
        <v>0</v>
      </c>
      <c r="N29" s="0" t="n">
        <f aca="false">IF(C29="","",L29+M29)</f>
        <v>0.492075</v>
      </c>
    </row>
    <row r="30" customFormat="false" ht="14.25" hidden="false" customHeight="false" outlineLevel="0" collapsed="false">
      <c r="B30" s="0" t="s">
        <v>68</v>
      </c>
      <c r="G30" s="0" t="str">
        <f aca="false">IF(C30="","",C30*D30*E30)</f>
        <v/>
      </c>
      <c r="J30" s="0" t="str">
        <f aca="false">IF(C30="","",G30*I30)</f>
        <v/>
      </c>
      <c r="K30" s="0" t="str">
        <f aca="false">IF(C30="","",G30*I30^2)</f>
        <v/>
      </c>
      <c r="L30" s="0" t="str">
        <f aca="false">IF(C30="","",1/12*D30*E30^3*(COS(DEGREES(F30)))^2)</f>
        <v/>
      </c>
      <c r="M30" s="0" t="str">
        <f aca="false">IF(C30="","",1/12*D30*E30^3*(SIN(DEGREES(F30)))^2)</f>
        <v/>
      </c>
      <c r="N30" s="0" t="str">
        <f aca="false">IF(C30="","",L30+M30)</f>
        <v/>
      </c>
    </row>
    <row r="31" customFormat="false" ht="14.25" hidden="false" customHeight="false" outlineLevel="0" collapsed="false">
      <c r="B31" s="2" t="s">
        <v>60</v>
      </c>
      <c r="C31" s="0" t="n">
        <v>2</v>
      </c>
      <c r="D31" s="0" t="n">
        <v>0.9</v>
      </c>
      <c r="E31" s="0" t="n">
        <v>15</v>
      </c>
      <c r="F31" s="0" t="n">
        <v>0</v>
      </c>
      <c r="G31" s="0" t="n">
        <f aca="false">IF(C31="","",C31*D31*E31)</f>
        <v>27</v>
      </c>
      <c r="H31" s="0" t="n">
        <v>0</v>
      </c>
      <c r="I31" s="0" t="n">
        <f aca="false">H31+(E31/2)</f>
        <v>7.5</v>
      </c>
      <c r="J31" s="0" t="n">
        <f aca="false">IF(C31="","",G31*I31)</f>
        <v>202.5</v>
      </c>
      <c r="K31" s="0" t="n">
        <f aca="false">IF(C31="","",G31*I31^2)</f>
        <v>1518.75</v>
      </c>
      <c r="L31" s="0" t="n">
        <f aca="false">IF(C31="","",1/12*D31*E31^3*(COS(DEGREES(F31)))^2)</f>
        <v>253.125</v>
      </c>
      <c r="M31" s="0" t="n">
        <f aca="false">IF(C31="","",1/12*D31*E31^3*(SIN(DEGREES(F31)))^2)</f>
        <v>0</v>
      </c>
      <c r="N31" s="0" t="n">
        <f aca="false">IF(C31="","",L31+M31)</f>
        <v>253.125</v>
      </c>
    </row>
    <row r="32" customFormat="false" ht="14.25" hidden="false" customHeight="false" outlineLevel="0" collapsed="false">
      <c r="B32" s="2" t="s">
        <v>61</v>
      </c>
      <c r="C32" s="0" t="n">
        <v>2</v>
      </c>
      <c r="D32" s="0" t="n">
        <v>8.1</v>
      </c>
      <c r="E32" s="0" t="n">
        <v>0.9</v>
      </c>
      <c r="F32" s="0" t="n">
        <v>0</v>
      </c>
      <c r="G32" s="0" t="n">
        <f aca="false">IF(C32="","",C32*D32*E32)</f>
        <v>14.58</v>
      </c>
      <c r="H32" s="0" t="n">
        <v>0</v>
      </c>
      <c r="I32" s="0" t="n">
        <f aca="false">H32+(E32/2)</f>
        <v>0.45</v>
      </c>
      <c r="J32" s="0" t="n">
        <f aca="false">IF(C32="","",G32*I32)</f>
        <v>6.561</v>
      </c>
      <c r="K32" s="0" t="n">
        <f aca="false">IF(C32="","",G32*I32^2)</f>
        <v>2.95245</v>
      </c>
      <c r="L32" s="0" t="n">
        <f aca="false">IF(C32="","",1/12*D32*E32^3*(COS(DEGREES(F32)))^2)</f>
        <v>0.492075</v>
      </c>
      <c r="M32" s="0" t="n">
        <f aca="false">IF(C32="","",1/12*D32*E32^3*(SIN(DEGREES(F32)))^2)</f>
        <v>0</v>
      </c>
      <c r="N32" s="0" t="n">
        <f aca="false">IF(C32="","",L32+M32)</f>
        <v>0.492075</v>
      </c>
    </row>
    <row r="33" customFormat="false" ht="14.25" hidden="false" customHeight="false" outlineLevel="0" collapsed="false">
      <c r="B33" s="0" t="s">
        <v>69</v>
      </c>
      <c r="G33" s="0" t="str">
        <f aca="false">IF(C33="","",C33*D33*E33)</f>
        <v/>
      </c>
      <c r="J33" s="0" t="str">
        <f aca="false">IF(C33="","",G33*I33)</f>
        <v/>
      </c>
      <c r="K33" s="0" t="str">
        <f aca="false">IF(C33="","",G33*I33^2)</f>
        <v/>
      </c>
      <c r="L33" s="0" t="str">
        <f aca="false">IF(C33="","",1/12*D33*E33^3*(COS(DEGREES(F33)))^2)</f>
        <v/>
      </c>
      <c r="M33" s="0" t="str">
        <f aca="false">IF(C33="","",1/12*D33*E33^3*(SIN(DEGREES(F33)))^2)</f>
        <v/>
      </c>
      <c r="N33" s="0" t="str">
        <f aca="false">IF(C33="","",L33+M33)</f>
        <v/>
      </c>
    </row>
    <row r="34" customFormat="false" ht="14.25" hidden="false" customHeight="false" outlineLevel="0" collapsed="false">
      <c r="B34" s="2" t="s">
        <v>60</v>
      </c>
      <c r="C34" s="0" t="n">
        <v>2</v>
      </c>
      <c r="D34" s="0" t="n">
        <v>0.9</v>
      </c>
      <c r="E34" s="0" t="n">
        <v>15</v>
      </c>
      <c r="F34" s="0" t="n">
        <v>0</v>
      </c>
      <c r="G34" s="0" t="n">
        <f aca="false">IF(C34="","",C34*D34*E34)</f>
        <v>27</v>
      </c>
      <c r="H34" s="0" t="n">
        <v>0</v>
      </c>
      <c r="I34" s="0" t="n">
        <f aca="false">H34+(E34/2)</f>
        <v>7.5</v>
      </c>
      <c r="J34" s="0" t="n">
        <f aca="false">IF(C34="","",G34*I34)</f>
        <v>202.5</v>
      </c>
      <c r="K34" s="0" t="n">
        <f aca="false">IF(C34="","",G34*I34^2)</f>
        <v>1518.75</v>
      </c>
      <c r="L34" s="0" t="n">
        <f aca="false">IF(C34="","",1/12*D34*E34^3*(COS(DEGREES(F34)))^2)</f>
        <v>253.125</v>
      </c>
      <c r="M34" s="0" t="n">
        <f aca="false">IF(C34="","",1/12*D34*E34^3*(SIN(DEGREES(F34)))^2)</f>
        <v>0</v>
      </c>
      <c r="N34" s="0" t="n">
        <f aca="false">IF(C34="","",L34+M34)</f>
        <v>253.125</v>
      </c>
    </row>
    <row r="35" customFormat="false" ht="14.25" hidden="false" customHeight="false" outlineLevel="0" collapsed="false">
      <c r="B35" s="2" t="s">
        <v>61</v>
      </c>
      <c r="C35" s="0" t="n">
        <v>2</v>
      </c>
      <c r="D35" s="0" t="n">
        <v>8.1</v>
      </c>
      <c r="E35" s="0" t="n">
        <v>0.9</v>
      </c>
      <c r="F35" s="0" t="n">
        <v>0</v>
      </c>
      <c r="G35" s="0" t="n">
        <f aca="false">IF(C35="","",C35*D35*E35)</f>
        <v>14.58</v>
      </c>
      <c r="H35" s="0" t="n">
        <v>0</v>
      </c>
      <c r="I35" s="0" t="n">
        <f aca="false">H35+(E35/2)</f>
        <v>0.45</v>
      </c>
      <c r="J35" s="0" t="n">
        <f aca="false">IF(C35="","",G35*I35)</f>
        <v>6.561</v>
      </c>
      <c r="K35" s="0" t="n">
        <f aca="false">IF(C35="","",G35*I35^2)</f>
        <v>2.95245</v>
      </c>
      <c r="L35" s="0" t="n">
        <f aca="false">IF(C35="","",1/12*D35*E35^3*(COS(DEGREES(F35)))^2)</f>
        <v>0.492075</v>
      </c>
      <c r="M35" s="0" t="n">
        <f aca="false">IF(C35="","",1/12*D35*E35^3*(SIN(DEGREES(F35)))^2)</f>
        <v>0</v>
      </c>
      <c r="N35" s="0" t="n">
        <f aca="false">IF(C35="","",L35+M35)</f>
        <v>0.492075</v>
      </c>
    </row>
    <row r="36" customFormat="false" ht="14.25" hidden="false" customHeight="false" outlineLevel="0" collapsed="false">
      <c r="B36" s="0" t="s">
        <v>70</v>
      </c>
      <c r="G36" s="0" t="str">
        <f aca="false">IF(C36="","",C36*D36*E36)</f>
        <v/>
      </c>
      <c r="J36" s="0" t="str">
        <f aca="false">IF(C36="","",G36*I36)</f>
        <v/>
      </c>
      <c r="K36" s="0" t="str">
        <f aca="false">IF(C36="","",G36*I36^2)</f>
        <v/>
      </c>
      <c r="L36" s="0" t="str">
        <f aca="false">IF(C36="","",1/12*D36*E36^3*(COS(DEGREES(F36)))^2)</f>
        <v/>
      </c>
      <c r="M36" s="0" t="str">
        <f aca="false">IF(C36="","",1/12*D36*E36^3*(SIN(DEGREES(F36)))^2)</f>
        <v/>
      </c>
      <c r="N36" s="0" t="str">
        <f aca="false">IF(C36="","",L36+M36)</f>
        <v/>
      </c>
    </row>
    <row r="37" customFormat="false" ht="14.25" hidden="false" customHeight="false" outlineLevel="0" collapsed="false">
      <c r="B37" s="2" t="s">
        <v>60</v>
      </c>
      <c r="C37" s="0" t="n">
        <v>2</v>
      </c>
      <c r="D37" s="0" t="n">
        <v>0.9</v>
      </c>
      <c r="E37" s="0" t="n">
        <v>15</v>
      </c>
      <c r="F37" s="0" t="n">
        <v>0</v>
      </c>
      <c r="G37" s="0" t="n">
        <f aca="false">IF(C37="","",C37*D37*E37)</f>
        <v>27</v>
      </c>
      <c r="H37" s="0" t="n">
        <v>0</v>
      </c>
      <c r="I37" s="0" t="n">
        <f aca="false">H37+(E37/2)</f>
        <v>7.5</v>
      </c>
      <c r="J37" s="0" t="n">
        <f aca="false">IF(C37="","",G37*I37)</f>
        <v>202.5</v>
      </c>
      <c r="K37" s="0" t="n">
        <f aca="false">IF(C37="","",G37*I37^2)</f>
        <v>1518.75</v>
      </c>
      <c r="L37" s="0" t="n">
        <f aca="false">IF(C37="","",1/12*D37*E37^3*(COS(DEGREES(F37)))^2)</f>
        <v>253.125</v>
      </c>
      <c r="M37" s="0" t="n">
        <f aca="false">IF(C37="","",1/12*D37*E37^3*(SIN(DEGREES(F37)))^2)</f>
        <v>0</v>
      </c>
      <c r="N37" s="0" t="n">
        <f aca="false">IF(C37="","",L37+M37)</f>
        <v>253.125</v>
      </c>
    </row>
    <row r="38" customFormat="false" ht="14.25" hidden="false" customHeight="false" outlineLevel="0" collapsed="false">
      <c r="B38" s="2" t="s">
        <v>61</v>
      </c>
      <c r="C38" s="0" t="n">
        <v>2</v>
      </c>
      <c r="D38" s="0" t="n">
        <v>8.1</v>
      </c>
      <c r="E38" s="0" t="n">
        <v>0.9</v>
      </c>
      <c r="F38" s="0" t="n">
        <v>0</v>
      </c>
      <c r="G38" s="0" t="n">
        <f aca="false">IF(C38="","",C38*D38*E38)</f>
        <v>14.58</v>
      </c>
      <c r="H38" s="0" t="n">
        <v>0</v>
      </c>
      <c r="I38" s="0" t="n">
        <f aca="false">H38+(E38/2)</f>
        <v>0.45</v>
      </c>
      <c r="J38" s="0" t="n">
        <f aca="false">IF(C38="","",G38*I38)</f>
        <v>6.561</v>
      </c>
      <c r="K38" s="0" t="n">
        <f aca="false">IF(C38="","",G38*I38^2)</f>
        <v>2.95245</v>
      </c>
      <c r="L38" s="0" t="n">
        <f aca="false">IF(C38="","",1/12*D38*E38^3*(COS(DEGREES(F38)))^2)</f>
        <v>0.492075</v>
      </c>
      <c r="M38" s="0" t="n">
        <f aca="false">IF(C38="","",1/12*D38*E38^3*(SIN(DEGREES(F38)))^2)</f>
        <v>0</v>
      </c>
      <c r="N38" s="0" t="n">
        <f aca="false">IF(C38="","",L38+M38)</f>
        <v>0.492075</v>
      </c>
    </row>
    <row r="39" customFormat="false" ht="14.25" hidden="false" customHeight="false" outlineLevel="0" collapsed="false">
      <c r="B39" s="0" t="s">
        <v>71</v>
      </c>
      <c r="G39" s="0" t="str">
        <f aca="false">IF(C39="","",C39*D39*E39)</f>
        <v/>
      </c>
      <c r="J39" s="0" t="str">
        <f aca="false">IF(C39="","",G39*I39)</f>
        <v/>
      </c>
      <c r="K39" s="0" t="str">
        <f aca="false">IF(C39="","",G39*I39^2)</f>
        <v/>
      </c>
      <c r="L39" s="0" t="str">
        <f aca="false">IF(C39="","",1/12*D39*E39^3*(COS(DEGREES(F39)))^2)</f>
        <v/>
      </c>
      <c r="M39" s="0" t="str">
        <f aca="false">IF(C39="","",1/12*D39*E39^3*(SIN(DEGREES(F39)))^2)</f>
        <v/>
      </c>
      <c r="N39" s="0" t="str">
        <f aca="false">IF(C39="","",L39+M39)</f>
        <v/>
      </c>
    </row>
    <row r="40" customFormat="false" ht="14.25" hidden="false" customHeight="false" outlineLevel="0" collapsed="false">
      <c r="B40" s="2" t="s">
        <v>60</v>
      </c>
      <c r="C40" s="0" t="n">
        <v>2</v>
      </c>
      <c r="D40" s="0" t="n">
        <v>0.9</v>
      </c>
      <c r="E40" s="0" t="n">
        <v>15</v>
      </c>
      <c r="F40" s="0" t="n">
        <v>0</v>
      </c>
      <c r="G40" s="0" t="n">
        <f aca="false">IF(C40="","",C40*D40*E40)</f>
        <v>27</v>
      </c>
      <c r="H40" s="0" t="n">
        <v>0</v>
      </c>
      <c r="I40" s="0" t="n">
        <f aca="false">H40+(E40/2)</f>
        <v>7.5</v>
      </c>
      <c r="J40" s="0" t="n">
        <f aca="false">IF(C40="","",G40*I40)</f>
        <v>202.5</v>
      </c>
      <c r="K40" s="0" t="n">
        <f aca="false">IF(C40="","",G40*I40^2)</f>
        <v>1518.75</v>
      </c>
      <c r="L40" s="0" t="n">
        <f aca="false">IF(C40="","",1/12*D40*E40^3*(COS(DEGREES(F40)))^2)</f>
        <v>253.125</v>
      </c>
      <c r="M40" s="0" t="n">
        <f aca="false">IF(C40="","",1/12*D40*E40^3*(SIN(DEGREES(F40)))^2)</f>
        <v>0</v>
      </c>
      <c r="N40" s="0" t="n">
        <f aca="false">IF(C40="","",L40+M40)</f>
        <v>253.125</v>
      </c>
    </row>
    <row r="41" customFormat="false" ht="14.25" hidden="false" customHeight="false" outlineLevel="0" collapsed="false">
      <c r="B41" s="2" t="s">
        <v>61</v>
      </c>
      <c r="C41" s="0" t="n">
        <v>2</v>
      </c>
      <c r="D41" s="0" t="n">
        <v>8.1</v>
      </c>
      <c r="E41" s="0" t="n">
        <v>0.9</v>
      </c>
      <c r="F41" s="0" t="n">
        <v>0</v>
      </c>
      <c r="G41" s="0" t="n">
        <f aca="false">IF(C41="","",C41*D41*E41)</f>
        <v>14.58</v>
      </c>
      <c r="H41" s="0" t="n">
        <v>0</v>
      </c>
      <c r="I41" s="0" t="n">
        <f aca="false">H41+(E41/2)</f>
        <v>0.45</v>
      </c>
      <c r="J41" s="0" t="n">
        <f aca="false">IF(C41="","",G41*I41)</f>
        <v>6.561</v>
      </c>
      <c r="K41" s="0" t="n">
        <f aca="false">IF(C41="","",G41*I41^2)</f>
        <v>2.95245</v>
      </c>
      <c r="L41" s="0" t="n">
        <f aca="false">IF(C41="","",1/12*D41*E41^3*(COS(DEGREES(F41)))^2)</f>
        <v>0.492075</v>
      </c>
      <c r="M41" s="0" t="n">
        <f aca="false">IF(C41="","",1/12*D41*E41^3*(SIN(DEGREES(F41)))^2)</f>
        <v>0</v>
      </c>
      <c r="N41" s="0" t="n">
        <f aca="false">IF(C41="","",L41+M41)</f>
        <v>0.492075</v>
      </c>
    </row>
    <row r="42" customFormat="false" ht="14.25" hidden="false" customHeight="false" outlineLevel="0" collapsed="false">
      <c r="B42" s="0" t="s">
        <v>72</v>
      </c>
      <c r="G42" s="0" t="str">
        <f aca="false">IF(C42="","",C42*D42*E42)</f>
        <v/>
      </c>
      <c r="J42" s="0" t="str">
        <f aca="false">IF(C42="","",G42*I42)</f>
        <v/>
      </c>
      <c r="K42" s="0" t="str">
        <f aca="false">IF(C42="","",G42*I42^2)</f>
        <v/>
      </c>
      <c r="L42" s="0" t="str">
        <f aca="false">IF(C42="","",1/12*D42*E42^3*(COS(DEGREES(F42)))^2)</f>
        <v/>
      </c>
      <c r="M42" s="0" t="str">
        <f aca="false">IF(C42="","",1/12*D42*E42^3*(SIN(DEGREES(F42)))^2)</f>
        <v/>
      </c>
      <c r="N42" s="0" t="str">
        <f aca="false">IF(C42="","",L42+M42)</f>
        <v/>
      </c>
    </row>
    <row r="43" customFormat="false" ht="14.25" hidden="false" customHeight="false" outlineLevel="0" collapsed="false">
      <c r="B43" s="2" t="s">
        <v>60</v>
      </c>
      <c r="C43" s="0" t="n">
        <v>2</v>
      </c>
      <c r="D43" s="0" t="n">
        <v>0.9</v>
      </c>
      <c r="E43" s="0" t="n">
        <v>15</v>
      </c>
      <c r="F43" s="0" t="n">
        <v>0</v>
      </c>
      <c r="G43" s="0" t="n">
        <f aca="false">IF(C43="","",C43*D43*E43)</f>
        <v>27</v>
      </c>
      <c r="H43" s="0" t="n">
        <v>0</v>
      </c>
      <c r="I43" s="0" t="n">
        <f aca="false">H43+(E43/2)</f>
        <v>7.5</v>
      </c>
      <c r="J43" s="0" t="n">
        <f aca="false">IF(C43="","",G43*I43)</f>
        <v>202.5</v>
      </c>
      <c r="K43" s="0" t="n">
        <f aca="false">IF(C43="","",G43*I43^2)</f>
        <v>1518.75</v>
      </c>
      <c r="L43" s="0" t="n">
        <f aca="false">IF(C43="","",1/12*D43*E43^3*(COS(DEGREES(F43)))^2)</f>
        <v>253.125</v>
      </c>
      <c r="M43" s="0" t="n">
        <f aca="false">IF(C43="","",1/12*D43*E43^3*(SIN(DEGREES(F43)))^2)</f>
        <v>0</v>
      </c>
      <c r="N43" s="0" t="n">
        <f aca="false">IF(C43="","",L43+M43)</f>
        <v>253.125</v>
      </c>
    </row>
    <row r="44" customFormat="false" ht="14.25" hidden="false" customHeight="false" outlineLevel="0" collapsed="false">
      <c r="B44" s="2" t="s">
        <v>61</v>
      </c>
      <c r="C44" s="0" t="n">
        <v>2</v>
      </c>
      <c r="D44" s="0" t="n">
        <v>8.1</v>
      </c>
      <c r="E44" s="0" t="n">
        <v>0.9</v>
      </c>
      <c r="F44" s="0" t="n">
        <v>0</v>
      </c>
      <c r="G44" s="0" t="n">
        <f aca="false">IF(C44="","",C44*D44*E44)</f>
        <v>14.58</v>
      </c>
      <c r="H44" s="0" t="n">
        <v>0</v>
      </c>
      <c r="I44" s="0" t="n">
        <f aca="false">H44+(E44/2)</f>
        <v>0.45</v>
      </c>
      <c r="J44" s="0" t="n">
        <f aca="false">IF(C44="","",G44*I44)</f>
        <v>6.561</v>
      </c>
      <c r="K44" s="0" t="n">
        <f aca="false">IF(C44="","",G44*I44^2)</f>
        <v>2.95245</v>
      </c>
      <c r="L44" s="0" t="n">
        <f aca="false">IF(C44="","",1/12*D44*E44^3*(COS(DEGREES(F44)))^2)</f>
        <v>0.492075</v>
      </c>
      <c r="M44" s="0" t="n">
        <f aca="false">IF(C44="","",1/12*D44*E44^3*(SIN(DEGREES(F44)))^2)</f>
        <v>0</v>
      </c>
      <c r="N44" s="0" t="n">
        <f aca="false">IF(C44="","",L44+M44)</f>
        <v>0.492075</v>
      </c>
    </row>
    <row r="45" customFormat="false" ht="14.25" hidden="false" customHeight="false" outlineLevel="0" collapsed="false">
      <c r="B45" s="0" t="s">
        <v>73</v>
      </c>
      <c r="G45" s="0" t="str">
        <f aca="false">IF(C45="","",C45*D45*E45)</f>
        <v/>
      </c>
      <c r="J45" s="0" t="str">
        <f aca="false">IF(C45="","",G45*I45)</f>
        <v/>
      </c>
      <c r="K45" s="0" t="str">
        <f aca="false">IF(C45="","",G45*I45^2)</f>
        <v/>
      </c>
      <c r="L45" s="0" t="str">
        <f aca="false">IF(C45="","",1/12*D45*E45^3*(COS(DEGREES(F45)))^2)</f>
        <v/>
      </c>
      <c r="M45" s="0" t="str">
        <f aca="false">IF(C45="","",1/12*D45*E45^3*(SIN(DEGREES(F45)))^2)</f>
        <v/>
      </c>
      <c r="N45" s="0" t="str">
        <f aca="false">IF(C45="","",L45+M45)</f>
        <v/>
      </c>
    </row>
    <row r="46" customFormat="false" ht="14.25" hidden="false" customHeight="false" outlineLevel="0" collapsed="false">
      <c r="B46" s="2" t="s">
        <v>60</v>
      </c>
      <c r="C46" s="0" t="n">
        <v>2</v>
      </c>
      <c r="D46" s="0" t="n">
        <v>0.9</v>
      </c>
      <c r="E46" s="0" t="n">
        <v>15</v>
      </c>
      <c r="F46" s="0" t="n">
        <v>0</v>
      </c>
      <c r="G46" s="0" t="n">
        <f aca="false">IF(C46="","",C46*D46*E46)</f>
        <v>27</v>
      </c>
      <c r="H46" s="0" t="n">
        <v>0</v>
      </c>
      <c r="I46" s="0" t="n">
        <f aca="false">H46+(E46/2)</f>
        <v>7.5</v>
      </c>
      <c r="J46" s="0" t="n">
        <f aca="false">IF(C46="","",G46*I46)</f>
        <v>202.5</v>
      </c>
      <c r="K46" s="0" t="n">
        <f aca="false">IF(C46="","",G46*I46^2)</f>
        <v>1518.75</v>
      </c>
      <c r="L46" s="0" t="n">
        <f aca="false">IF(C46="","",1/12*D46*E46^3*(COS(DEGREES(F46)))^2)</f>
        <v>253.125</v>
      </c>
      <c r="M46" s="0" t="n">
        <f aca="false">IF(C46="","",1/12*D46*E46^3*(SIN(DEGREES(F46)))^2)</f>
        <v>0</v>
      </c>
      <c r="N46" s="0" t="n">
        <f aca="false">IF(C46="","",L46+M46)</f>
        <v>253.125</v>
      </c>
    </row>
    <row r="47" customFormat="false" ht="14.25" hidden="false" customHeight="false" outlineLevel="0" collapsed="false">
      <c r="B47" s="2" t="s">
        <v>61</v>
      </c>
      <c r="C47" s="0" t="n">
        <v>2</v>
      </c>
      <c r="D47" s="0" t="n">
        <v>8.1</v>
      </c>
      <c r="E47" s="0" t="n">
        <v>0.9</v>
      </c>
      <c r="F47" s="0" t="n">
        <v>0</v>
      </c>
      <c r="G47" s="0" t="n">
        <f aca="false">IF(C47="","",C47*D47*E47)</f>
        <v>14.58</v>
      </c>
      <c r="H47" s="0" t="n">
        <v>0</v>
      </c>
      <c r="I47" s="0" t="n">
        <f aca="false">H47+(E47/2)</f>
        <v>0.45</v>
      </c>
      <c r="J47" s="0" t="n">
        <f aca="false">IF(C47="","",G47*I47)</f>
        <v>6.561</v>
      </c>
      <c r="K47" s="0" t="n">
        <f aca="false">IF(C47="","",G47*I47^2)</f>
        <v>2.95245</v>
      </c>
      <c r="L47" s="0" t="n">
        <f aca="false">IF(C47="","",1/12*D47*E47^3*(COS(DEGREES(F47)))^2)</f>
        <v>0.492075</v>
      </c>
      <c r="M47" s="0" t="n">
        <f aca="false">IF(C47="","",1/12*D47*E47^3*(SIN(DEGREES(F47)))^2)</f>
        <v>0</v>
      </c>
      <c r="N47" s="0" t="n">
        <f aca="false">IF(C47="","",L47+M47)</f>
        <v>0.492075</v>
      </c>
    </row>
    <row r="48" customFormat="false" ht="14.25" hidden="false" customHeight="false" outlineLevel="0" collapsed="false">
      <c r="B48" s="0" t="s">
        <v>74</v>
      </c>
      <c r="G48" s="0" t="str">
        <f aca="false">IF(C48="","",C48*D48*E48)</f>
        <v/>
      </c>
      <c r="J48" s="0" t="str">
        <f aca="false">IF(C48="","",G48*I48)</f>
        <v/>
      </c>
      <c r="K48" s="0" t="str">
        <f aca="false">IF(C48="","",G48*I48^2)</f>
        <v/>
      </c>
      <c r="L48" s="0" t="str">
        <f aca="false">IF(C48="","",1/12*D48*E48^3*(COS(DEGREES(F48)))^2)</f>
        <v/>
      </c>
      <c r="M48" s="0" t="str">
        <f aca="false">IF(C48="","",1/12*D48*E48^3*(SIN(DEGREES(F48)))^2)</f>
        <v/>
      </c>
      <c r="N48" s="0" t="str">
        <f aca="false">IF(C48="","",L48+M48)</f>
        <v/>
      </c>
    </row>
    <row r="49" customFormat="false" ht="14.25" hidden="false" customHeight="false" outlineLevel="0" collapsed="false">
      <c r="B49" s="2" t="s">
        <v>60</v>
      </c>
      <c r="C49" s="0" t="n">
        <v>2</v>
      </c>
      <c r="D49" s="0" t="n">
        <v>0.9</v>
      </c>
      <c r="E49" s="0" t="n">
        <v>15</v>
      </c>
      <c r="F49" s="0" t="n">
        <v>0</v>
      </c>
      <c r="G49" s="0" t="n">
        <f aca="false">IF(C49="","",C49*D49*E49)</f>
        <v>27</v>
      </c>
      <c r="H49" s="0" t="n">
        <v>0</v>
      </c>
      <c r="I49" s="0" t="n">
        <f aca="false">H49+(E49/2)</f>
        <v>7.5</v>
      </c>
      <c r="J49" s="0" t="n">
        <f aca="false">IF(C49="","",G49*I49)</f>
        <v>202.5</v>
      </c>
      <c r="K49" s="0" t="n">
        <f aca="false">IF(C49="","",G49*I49^2)</f>
        <v>1518.75</v>
      </c>
      <c r="L49" s="0" t="n">
        <f aca="false">IF(C49="","",1/12*D49*E49^3*(COS(DEGREES(F49)))^2)</f>
        <v>253.125</v>
      </c>
      <c r="M49" s="0" t="n">
        <f aca="false">IF(C49="","",1/12*D49*E49^3*(SIN(DEGREES(F49)))^2)</f>
        <v>0</v>
      </c>
      <c r="N49" s="0" t="n">
        <f aca="false">IF(C49="","",L49+M49)</f>
        <v>253.125</v>
      </c>
    </row>
    <row r="50" customFormat="false" ht="14.25" hidden="false" customHeight="false" outlineLevel="0" collapsed="false">
      <c r="B50" s="2" t="s">
        <v>61</v>
      </c>
      <c r="C50" s="0" t="n">
        <v>2</v>
      </c>
      <c r="D50" s="0" t="n">
        <v>8.1</v>
      </c>
      <c r="E50" s="0" t="n">
        <v>0.9</v>
      </c>
      <c r="F50" s="0" t="n">
        <v>0</v>
      </c>
      <c r="G50" s="0" t="n">
        <f aca="false">IF(C50="","",C50*D50*E50)</f>
        <v>14.58</v>
      </c>
      <c r="H50" s="0" t="n">
        <v>0</v>
      </c>
      <c r="I50" s="0" t="n">
        <f aca="false">H50+(E50/2)</f>
        <v>0.45</v>
      </c>
      <c r="J50" s="0" t="n">
        <f aca="false">IF(C50="","",G50*I50)</f>
        <v>6.561</v>
      </c>
      <c r="K50" s="0" t="n">
        <f aca="false">IF(C50="","",G50*I50^2)</f>
        <v>2.95245</v>
      </c>
      <c r="L50" s="0" t="n">
        <f aca="false">IF(C50="","",1/12*D50*E50^3*(COS(DEGREES(F50)))^2)</f>
        <v>0.492075</v>
      </c>
      <c r="M50" s="0" t="n">
        <f aca="false">IF(C50="","",1/12*D50*E50^3*(SIN(DEGREES(F50)))^2)</f>
        <v>0</v>
      </c>
      <c r="N50" s="0" t="n">
        <f aca="false">IF(C50="","",L50+M50)</f>
        <v>0.492075</v>
      </c>
    </row>
    <row r="51" customFormat="false" ht="14.25" hidden="false" customHeight="false" outlineLevel="0" collapsed="false">
      <c r="B51" s="0" t="s">
        <v>75</v>
      </c>
      <c r="G51" s="0" t="str">
        <f aca="false">IF(C51="","",C51*D51*E51)</f>
        <v/>
      </c>
      <c r="J51" s="0" t="str">
        <f aca="false">IF(C51="","",G51*I51)</f>
        <v/>
      </c>
      <c r="K51" s="0" t="str">
        <f aca="false">IF(C51="","",G51*I51^2)</f>
        <v/>
      </c>
      <c r="L51" s="0" t="str">
        <f aca="false">IF(C51="","",1/12*D51*E51^3*(COS(DEGREES(F51)))^2)</f>
        <v/>
      </c>
      <c r="M51" s="0" t="str">
        <f aca="false">IF(C51="","",1/12*D51*E51^3*(SIN(DEGREES(F51)))^2)</f>
        <v/>
      </c>
      <c r="N51" s="0" t="str">
        <f aca="false">IF(C51="","",L51+M51)</f>
        <v/>
      </c>
    </row>
    <row r="52" customFormat="false" ht="14.25" hidden="false" customHeight="false" outlineLevel="0" collapsed="false">
      <c r="B52" s="2" t="s">
        <v>60</v>
      </c>
      <c r="C52" s="0" t="n">
        <v>2</v>
      </c>
      <c r="D52" s="0" t="n">
        <v>0.9</v>
      </c>
      <c r="E52" s="0" t="n">
        <v>15</v>
      </c>
      <c r="F52" s="0" t="n">
        <v>0</v>
      </c>
      <c r="G52" s="0" t="n">
        <f aca="false">IF(C52="","",C52*D52*E52)</f>
        <v>27</v>
      </c>
      <c r="H52" s="0" t="n">
        <v>0</v>
      </c>
      <c r="I52" s="0" t="n">
        <f aca="false">H52+(E52/2)</f>
        <v>7.5</v>
      </c>
      <c r="J52" s="0" t="n">
        <f aca="false">IF(C52="","",G52*I52)</f>
        <v>202.5</v>
      </c>
      <c r="K52" s="0" t="n">
        <f aca="false">IF(C52="","",G52*I52^2)</f>
        <v>1518.75</v>
      </c>
      <c r="L52" s="0" t="n">
        <f aca="false">IF(C52="","",1/12*D52*E52^3*(COS(DEGREES(F52)))^2)</f>
        <v>253.125</v>
      </c>
      <c r="M52" s="0" t="n">
        <f aca="false">IF(C52="","",1/12*D52*E52^3*(SIN(DEGREES(F52)))^2)</f>
        <v>0</v>
      </c>
      <c r="N52" s="0" t="n">
        <f aca="false">IF(C52="","",L52+M52)</f>
        <v>253.125</v>
      </c>
    </row>
    <row r="53" customFormat="false" ht="14.25" hidden="false" customHeight="false" outlineLevel="0" collapsed="false">
      <c r="B53" s="2" t="s">
        <v>61</v>
      </c>
      <c r="C53" s="0" t="n">
        <v>2</v>
      </c>
      <c r="D53" s="0" t="n">
        <v>8.1</v>
      </c>
      <c r="E53" s="0" t="n">
        <v>0.9</v>
      </c>
      <c r="F53" s="0" t="n">
        <v>0</v>
      </c>
      <c r="G53" s="0" t="n">
        <f aca="false">IF(C53="","",C53*D53*E53)</f>
        <v>14.58</v>
      </c>
      <c r="H53" s="0" t="n">
        <v>0</v>
      </c>
      <c r="I53" s="0" t="n">
        <f aca="false">H53+(E53/2)</f>
        <v>0.45</v>
      </c>
      <c r="J53" s="0" t="n">
        <f aca="false">IF(C53="","",G53*I53)</f>
        <v>6.561</v>
      </c>
      <c r="K53" s="0" t="n">
        <f aca="false">IF(C53="","",G53*I53^2)</f>
        <v>2.95245</v>
      </c>
      <c r="L53" s="0" t="n">
        <f aca="false">IF(C53="","",1/12*D53*E53^3*(COS(DEGREES(F53)))^2)</f>
        <v>0.492075</v>
      </c>
      <c r="M53" s="0" t="n">
        <f aca="false">IF(C53="","",1/12*D53*E53^3*(SIN(DEGREES(F53)))^2)</f>
        <v>0</v>
      </c>
      <c r="N53" s="0" t="n">
        <f aca="false">IF(C53="","",L53+M53)</f>
        <v>0.492075</v>
      </c>
    </row>
    <row r="54" customFormat="false" ht="14.25" hidden="false" customHeight="false" outlineLevel="0" collapsed="false">
      <c r="B54" s="0" t="s">
        <v>76</v>
      </c>
      <c r="G54" s="0" t="str">
        <f aca="false">IF(C54="","",C54*D54*E54)</f>
        <v/>
      </c>
      <c r="J54" s="0" t="str">
        <f aca="false">IF(C54="","",G54*I54)</f>
        <v/>
      </c>
      <c r="K54" s="0" t="str">
        <f aca="false">IF(C54="","",G54*I54^2)</f>
        <v/>
      </c>
      <c r="L54" s="0" t="str">
        <f aca="false">IF(C54="","",1/12*D54*E54^3*(COS(DEGREES(F54)))^2)</f>
        <v/>
      </c>
      <c r="M54" s="0" t="str">
        <f aca="false">IF(C54="","",1/12*D54*E54^3*(SIN(DEGREES(F54)))^2)</f>
        <v/>
      </c>
      <c r="N54" s="0" t="str">
        <f aca="false">IF(C54="","",L54+M54)</f>
        <v/>
      </c>
    </row>
    <row r="55" customFormat="false" ht="14.25" hidden="false" customHeight="false" outlineLevel="0" collapsed="false">
      <c r="B55" s="2" t="s">
        <v>60</v>
      </c>
      <c r="C55" s="0" t="n">
        <v>2</v>
      </c>
      <c r="D55" s="0" t="n">
        <v>0.9</v>
      </c>
      <c r="E55" s="0" t="n">
        <v>15</v>
      </c>
      <c r="F55" s="0" t="n">
        <v>0</v>
      </c>
      <c r="G55" s="0" t="n">
        <f aca="false">IF(C55="","",C55*D55*E55)</f>
        <v>27</v>
      </c>
      <c r="H55" s="0" t="n">
        <v>0</v>
      </c>
      <c r="I55" s="0" t="n">
        <f aca="false">H55+(E55/2)</f>
        <v>7.5</v>
      </c>
      <c r="J55" s="0" t="n">
        <f aca="false">IF(C55="","",G55*I55)</f>
        <v>202.5</v>
      </c>
      <c r="K55" s="0" t="n">
        <f aca="false">IF(C55="","",G55*I55^2)</f>
        <v>1518.75</v>
      </c>
      <c r="L55" s="0" t="n">
        <f aca="false">IF(C55="","",1/12*D55*E55^3*(COS(DEGREES(F55)))^2)</f>
        <v>253.125</v>
      </c>
      <c r="M55" s="0" t="n">
        <f aca="false">IF(C55="","",1/12*D55*E55^3*(SIN(DEGREES(F55)))^2)</f>
        <v>0</v>
      </c>
      <c r="N55" s="0" t="n">
        <f aca="false">IF(C55="","",L55+M55)</f>
        <v>253.125</v>
      </c>
    </row>
    <row r="56" customFormat="false" ht="14.25" hidden="false" customHeight="false" outlineLevel="0" collapsed="false">
      <c r="B56" s="2" t="s">
        <v>61</v>
      </c>
      <c r="C56" s="0" t="n">
        <v>2</v>
      </c>
      <c r="D56" s="0" t="n">
        <v>8.1</v>
      </c>
      <c r="E56" s="0" t="n">
        <v>0.9</v>
      </c>
      <c r="F56" s="0" t="n">
        <v>0</v>
      </c>
      <c r="G56" s="0" t="n">
        <f aca="false">IF(C56="","",C56*D56*E56)</f>
        <v>14.58</v>
      </c>
      <c r="H56" s="0" t="n">
        <v>0</v>
      </c>
      <c r="I56" s="0" t="n">
        <f aca="false">H56+(E56/2)</f>
        <v>0.45</v>
      </c>
      <c r="J56" s="0" t="n">
        <f aca="false">IF(C56="","",G56*I56)</f>
        <v>6.561</v>
      </c>
      <c r="K56" s="0" t="n">
        <f aca="false">IF(C56="","",G56*I56^2)</f>
        <v>2.95245</v>
      </c>
      <c r="L56" s="0" t="n">
        <f aca="false">IF(C56="","",1/12*D56*E56^3*(COS(DEGREES(F56)))^2)</f>
        <v>0.492075</v>
      </c>
      <c r="M56" s="0" t="n">
        <f aca="false">IF(C56="","",1/12*D56*E56^3*(SIN(DEGREES(F56)))^2)</f>
        <v>0</v>
      </c>
      <c r="N56" s="0" t="n">
        <f aca="false">IF(C56="","",L56+M56)</f>
        <v>0.492075</v>
      </c>
    </row>
    <row r="57" customFormat="false" ht="14.25" hidden="false" customHeight="false" outlineLevel="0" collapsed="false">
      <c r="B57" s="0" t="s">
        <v>77</v>
      </c>
      <c r="G57" s="0" t="str">
        <f aca="false">IF(C57="","",C57*D57*E57)</f>
        <v/>
      </c>
      <c r="J57" s="0" t="str">
        <f aca="false">IF(C57="","",G57*I57)</f>
        <v/>
      </c>
      <c r="K57" s="0" t="str">
        <f aca="false">IF(C57="","",G57*I57^2)</f>
        <v/>
      </c>
      <c r="L57" s="0" t="str">
        <f aca="false">IF(C57="","",1/12*D57*E57^3*(COS(DEGREES(F57)))^2)</f>
        <v/>
      </c>
      <c r="M57" s="0" t="str">
        <f aca="false">IF(C57="","",1/12*D57*E57^3*(SIN(DEGREES(F57)))^2)</f>
        <v/>
      </c>
      <c r="N57" s="0" t="str">
        <f aca="false">IF(C57="","",L57+M57)</f>
        <v/>
      </c>
    </row>
    <row r="58" customFormat="false" ht="14.25" hidden="false" customHeight="false" outlineLevel="0" collapsed="false">
      <c r="B58" s="2" t="s">
        <v>60</v>
      </c>
      <c r="C58" s="0" t="n">
        <v>2</v>
      </c>
      <c r="D58" s="0" t="n">
        <v>0.9</v>
      </c>
      <c r="E58" s="0" t="n">
        <v>15</v>
      </c>
      <c r="F58" s="0" t="n">
        <v>0</v>
      </c>
      <c r="G58" s="0" t="n">
        <f aca="false">IF(C58="","",C58*D58*E58)</f>
        <v>27</v>
      </c>
      <c r="H58" s="0" t="n">
        <v>0</v>
      </c>
      <c r="I58" s="0" t="n">
        <f aca="false">H58+(E58/2)</f>
        <v>7.5</v>
      </c>
      <c r="J58" s="0" t="n">
        <f aca="false">IF(C58="","",G58*I58)</f>
        <v>202.5</v>
      </c>
      <c r="K58" s="0" t="n">
        <f aca="false">IF(C58="","",G58*I58^2)</f>
        <v>1518.75</v>
      </c>
      <c r="L58" s="0" t="n">
        <f aca="false">IF(C58="","",1/12*D58*E58^3*(COS(DEGREES(F58)))^2)</f>
        <v>253.125</v>
      </c>
      <c r="M58" s="0" t="n">
        <f aca="false">IF(C58="","",1/12*D58*E58^3*(SIN(DEGREES(F58)))^2)</f>
        <v>0</v>
      </c>
      <c r="N58" s="0" t="n">
        <f aca="false">IF(C58="","",L58+M58)</f>
        <v>253.125</v>
      </c>
    </row>
    <row r="59" customFormat="false" ht="14.25" hidden="false" customHeight="false" outlineLevel="0" collapsed="false">
      <c r="B59" s="2" t="s">
        <v>61</v>
      </c>
      <c r="C59" s="0" t="n">
        <v>2</v>
      </c>
      <c r="D59" s="0" t="n">
        <v>8.1</v>
      </c>
      <c r="E59" s="0" t="n">
        <v>0.9</v>
      </c>
      <c r="F59" s="0" t="n">
        <v>0</v>
      </c>
      <c r="G59" s="0" t="n">
        <f aca="false">IF(C59="","",C59*D59*E59)</f>
        <v>14.58</v>
      </c>
      <c r="H59" s="0" t="n">
        <v>0</v>
      </c>
      <c r="I59" s="0" t="n">
        <f aca="false">H59+(E59/2)</f>
        <v>0.45</v>
      </c>
      <c r="J59" s="0" t="n">
        <f aca="false">IF(C59="","",G59*I59)</f>
        <v>6.561</v>
      </c>
      <c r="K59" s="0" t="n">
        <f aca="false">IF(C59="","",G59*I59^2)</f>
        <v>2.95245</v>
      </c>
      <c r="L59" s="0" t="n">
        <f aca="false">IF(C59="","",1/12*D59*E59^3*(COS(DEGREES(F59)))^2)</f>
        <v>0.492075</v>
      </c>
      <c r="M59" s="0" t="n">
        <f aca="false">IF(C59="","",1/12*D59*E59^3*(SIN(DEGREES(F59)))^2)</f>
        <v>0</v>
      </c>
      <c r="N59" s="0" t="n">
        <f aca="false">IF(C59="","",L59+M59)</f>
        <v>0.492075</v>
      </c>
    </row>
    <row r="60" customFormat="false" ht="14.25" hidden="false" customHeight="false" outlineLevel="0" collapsed="false">
      <c r="B60" s="0" t="s">
        <v>78</v>
      </c>
      <c r="G60" s="0" t="str">
        <f aca="false">IF(C60="","",C60*D60*E60)</f>
        <v/>
      </c>
      <c r="J60" s="0" t="str">
        <f aca="false">IF(C60="","",G60*I60)</f>
        <v/>
      </c>
      <c r="K60" s="0" t="str">
        <f aca="false">IF(C60="","",G60*I60^2)</f>
        <v/>
      </c>
      <c r="L60" s="0" t="str">
        <f aca="false">IF(C60="","",1/12*D60*E60^3*(COS(DEGREES(F60)))^2)</f>
        <v/>
      </c>
      <c r="M60" s="0" t="str">
        <f aca="false">IF(C60="","",1/12*D60*E60^3*(SIN(DEGREES(F60)))^2)</f>
        <v/>
      </c>
      <c r="N60" s="0" t="str">
        <f aca="false">IF(C60="","",L60+M60)</f>
        <v/>
      </c>
    </row>
    <row r="61" customFormat="false" ht="14.25" hidden="false" customHeight="false" outlineLevel="0" collapsed="false">
      <c r="B61" s="2" t="s">
        <v>60</v>
      </c>
      <c r="C61" s="0" t="n">
        <v>2</v>
      </c>
      <c r="D61" s="0" t="n">
        <v>0.9</v>
      </c>
      <c r="E61" s="0" t="n">
        <v>15</v>
      </c>
      <c r="F61" s="0" t="n">
        <v>0</v>
      </c>
      <c r="G61" s="0" t="n">
        <f aca="false">IF(C61="","",C61*D61*E61)</f>
        <v>27</v>
      </c>
      <c r="H61" s="0" t="n">
        <v>0</v>
      </c>
      <c r="I61" s="0" t="n">
        <f aca="false">H61+(E61/2)</f>
        <v>7.5</v>
      </c>
      <c r="J61" s="0" t="n">
        <f aca="false">IF(C61="","",G61*I61)</f>
        <v>202.5</v>
      </c>
      <c r="K61" s="0" t="n">
        <f aca="false">IF(C61="","",G61*I61^2)</f>
        <v>1518.75</v>
      </c>
      <c r="L61" s="0" t="n">
        <f aca="false">IF(C61="","",1/12*D61*E61^3*(COS(DEGREES(F61)))^2)</f>
        <v>253.125</v>
      </c>
      <c r="M61" s="0" t="n">
        <f aca="false">IF(C61="","",1/12*D61*E61^3*(SIN(DEGREES(F61)))^2)</f>
        <v>0</v>
      </c>
      <c r="N61" s="0" t="n">
        <f aca="false">IF(C61="","",L61+M61)</f>
        <v>253.125</v>
      </c>
    </row>
    <row r="62" customFormat="false" ht="14.25" hidden="false" customHeight="false" outlineLevel="0" collapsed="false">
      <c r="B62" s="2" t="s">
        <v>61</v>
      </c>
      <c r="C62" s="0" t="n">
        <v>2</v>
      </c>
      <c r="D62" s="0" t="n">
        <v>8.1</v>
      </c>
      <c r="E62" s="0" t="n">
        <v>0.9</v>
      </c>
      <c r="F62" s="0" t="n">
        <v>0</v>
      </c>
      <c r="G62" s="0" t="n">
        <f aca="false">IF(C62="","",C62*D62*E62)</f>
        <v>14.58</v>
      </c>
      <c r="H62" s="0" t="n">
        <v>0</v>
      </c>
      <c r="I62" s="0" t="n">
        <f aca="false">H62+(E62/2)</f>
        <v>0.45</v>
      </c>
      <c r="J62" s="0" t="n">
        <f aca="false">IF(C62="","",G62*I62)</f>
        <v>6.561</v>
      </c>
      <c r="K62" s="0" t="n">
        <f aca="false">IF(C62="","",G62*I62^2)</f>
        <v>2.95245</v>
      </c>
      <c r="L62" s="0" t="n">
        <f aca="false">IF(C62="","",1/12*D62*E62^3*(COS(DEGREES(F62)))^2)</f>
        <v>0.492075</v>
      </c>
      <c r="M62" s="0" t="n">
        <f aca="false">IF(C62="","",1/12*D62*E62^3*(SIN(DEGREES(F62)))^2)</f>
        <v>0</v>
      </c>
      <c r="N62" s="0" t="n">
        <f aca="false">IF(C62="","",L62+M62)</f>
        <v>0.492075</v>
      </c>
    </row>
    <row r="63" customFormat="false" ht="14.25" hidden="false" customHeight="false" outlineLevel="0" collapsed="false">
      <c r="B63" s="0" t="s">
        <v>79</v>
      </c>
      <c r="G63" s="0" t="str">
        <f aca="false">IF(C63="","",C63*D63*E63)</f>
        <v/>
      </c>
      <c r="J63" s="0" t="str">
        <f aca="false">IF(C63="","",G63*I63)</f>
        <v/>
      </c>
      <c r="K63" s="0" t="str">
        <f aca="false">IF(C63="","",G63*I63^2)</f>
        <v/>
      </c>
      <c r="L63" s="0" t="str">
        <f aca="false">IF(C63="","",1/12*D63*E63^3*(COS(DEGREES(F63)))^2)</f>
        <v/>
      </c>
      <c r="M63" s="0" t="str">
        <f aca="false">IF(C63="","",1/12*D63*E63^3*(SIN(DEGREES(F63)))^2)</f>
        <v/>
      </c>
      <c r="N63" s="0" t="str">
        <f aca="false">IF(C63="","",L63+M63)</f>
        <v/>
      </c>
    </row>
    <row r="64" customFormat="false" ht="14.25" hidden="false" customHeight="false" outlineLevel="0" collapsed="false">
      <c r="B64" s="2" t="s">
        <v>60</v>
      </c>
      <c r="C64" s="0" t="n">
        <v>2</v>
      </c>
      <c r="D64" s="0" t="n">
        <v>0.9</v>
      </c>
      <c r="E64" s="0" t="n">
        <v>15</v>
      </c>
      <c r="F64" s="0" t="n">
        <v>0</v>
      </c>
      <c r="G64" s="0" t="n">
        <f aca="false">IF(C64="","",C64*D64*E64)</f>
        <v>27</v>
      </c>
      <c r="H64" s="0" t="n">
        <v>0</v>
      </c>
      <c r="I64" s="0" t="n">
        <f aca="false">H64+(E64/2)</f>
        <v>7.5</v>
      </c>
      <c r="J64" s="0" t="n">
        <f aca="false">IF(C64="","",G64*I64)</f>
        <v>202.5</v>
      </c>
      <c r="K64" s="0" t="n">
        <f aca="false">IF(C64="","",G64*I64^2)</f>
        <v>1518.75</v>
      </c>
      <c r="L64" s="0" t="n">
        <f aca="false">IF(C64="","",1/12*D64*E64^3*(COS(DEGREES(F64)))^2)</f>
        <v>253.125</v>
      </c>
      <c r="M64" s="0" t="n">
        <f aca="false">IF(C64="","",1/12*D64*E64^3*(SIN(DEGREES(F64)))^2)</f>
        <v>0</v>
      </c>
      <c r="N64" s="0" t="n">
        <f aca="false">IF(C64="","",L64+M64)</f>
        <v>253.125</v>
      </c>
    </row>
    <row r="65" customFormat="false" ht="14.25" hidden="false" customHeight="false" outlineLevel="0" collapsed="false">
      <c r="B65" s="2" t="s">
        <v>61</v>
      </c>
      <c r="C65" s="0" t="n">
        <v>2</v>
      </c>
      <c r="D65" s="0" t="n">
        <v>8.1</v>
      </c>
      <c r="E65" s="0" t="n">
        <v>0.9</v>
      </c>
      <c r="F65" s="0" t="n">
        <v>0</v>
      </c>
      <c r="G65" s="0" t="n">
        <f aca="false">IF(C65="","",C65*D65*E65)</f>
        <v>14.58</v>
      </c>
      <c r="H65" s="0" t="n">
        <v>0</v>
      </c>
      <c r="I65" s="0" t="n">
        <f aca="false">H65+(E65/2)</f>
        <v>0.45</v>
      </c>
      <c r="J65" s="0" t="n">
        <f aca="false">IF(C65="","",G65*I65)</f>
        <v>6.561</v>
      </c>
      <c r="K65" s="0" t="n">
        <f aca="false">IF(C65="","",G65*I65^2)</f>
        <v>2.95245</v>
      </c>
      <c r="L65" s="0" t="n">
        <f aca="false">IF(C65="","",1/12*D65*E65^3*(COS(DEGREES(F65)))^2)</f>
        <v>0.492075</v>
      </c>
      <c r="M65" s="0" t="n">
        <f aca="false">IF(C65="","",1/12*D65*E65^3*(SIN(DEGREES(F65)))^2)</f>
        <v>0</v>
      </c>
      <c r="N65" s="0" t="n">
        <f aca="false">IF(C65="","",L65+M65)</f>
        <v>0.492075</v>
      </c>
    </row>
    <row r="66" s="23" customFormat="true" ht="14.25" hidden="false" customHeight="false" outlineLevel="0" collapsed="false">
      <c r="B66" s="23" t="s">
        <v>80</v>
      </c>
      <c r="G66" s="23" t="str">
        <f aca="false">IF(C66="","",C66*D66*E66)</f>
        <v/>
      </c>
      <c r="J66" s="23" t="str">
        <f aca="false">IF(C66="","",G66*I66)</f>
        <v/>
      </c>
      <c r="K66" s="23" t="str">
        <f aca="false">IF(C66="","",G66*I66^2)</f>
        <v/>
      </c>
      <c r="L66" s="23" t="str">
        <f aca="false">IF(C66="","",1/12*D66*E66^3*(COS(DEGREES(F66)))^2)</f>
        <v/>
      </c>
      <c r="M66" s="23" t="str">
        <f aca="false">IF(C66="","",1/12*D66*E66^3*(SIN(DEGREES(F66)))^2)</f>
        <v/>
      </c>
      <c r="N66" s="23" t="str">
        <f aca="false">IF(C66="","",L66+M66)</f>
        <v/>
      </c>
    </row>
    <row r="67" customFormat="false" ht="14.25" hidden="false" customHeight="false" outlineLevel="0" collapsed="false">
      <c r="B67" s="2" t="s">
        <v>60</v>
      </c>
      <c r="C67" s="0" t="n">
        <v>2</v>
      </c>
      <c r="D67" s="0" t="n">
        <v>0.9</v>
      </c>
      <c r="E67" s="0" t="n">
        <v>15</v>
      </c>
      <c r="F67" s="0" t="n">
        <v>0</v>
      </c>
      <c r="G67" s="0" t="n">
        <f aca="false">IF(C67="","",C67*D67*E67)</f>
        <v>27</v>
      </c>
      <c r="H67" s="0" t="n">
        <f aca="false">5944.7362/10</f>
        <v>594.47362</v>
      </c>
      <c r="I67" s="0" t="n">
        <f aca="false">H67+(E67/2)</f>
        <v>601.97362</v>
      </c>
      <c r="J67" s="0" t="n">
        <f aca="false">IF(C67="","",G67*I67)</f>
        <v>16253.28774</v>
      </c>
      <c r="K67" s="0" t="n">
        <f aca="false">IF(C67="","",G67*I67^2)</f>
        <v>9784050.45774942</v>
      </c>
      <c r="L67" s="0" t="n">
        <f aca="false">IF(C67="","",1/12*D67*E67^3*(COS(DEGREES(F67)))^2)</f>
        <v>253.125</v>
      </c>
      <c r="M67" s="0" t="n">
        <f aca="false">IF(C67="","",1/12*D67*E67^3*(SIN(DEGREES(F67)))^2)</f>
        <v>0</v>
      </c>
      <c r="N67" s="0" t="n">
        <f aca="false">IF(C67="","",L67+M67)</f>
        <v>253.125</v>
      </c>
    </row>
    <row r="68" customFormat="false" ht="14.25" hidden="false" customHeight="false" outlineLevel="0" collapsed="false">
      <c r="B68" s="2" t="s">
        <v>61</v>
      </c>
      <c r="C68" s="0" t="n">
        <v>2</v>
      </c>
      <c r="D68" s="0" t="n">
        <v>8.1</v>
      </c>
      <c r="E68" s="0" t="n">
        <v>0.9</v>
      </c>
      <c r="F68" s="0" t="n">
        <v>0</v>
      </c>
      <c r="G68" s="0" t="n">
        <f aca="false">IF(C68="","",C68*D68*E68)</f>
        <v>14.58</v>
      </c>
      <c r="H68" s="0" t="n">
        <f aca="false">5944.7362/10</f>
        <v>594.47362</v>
      </c>
      <c r="I68" s="0" t="n">
        <f aca="false">H68+(E68/2)</f>
        <v>594.92362</v>
      </c>
      <c r="J68" s="0" t="n">
        <f aca="false">IF(C68="","",G68*I68)</f>
        <v>8673.9863796</v>
      </c>
      <c r="K68" s="0" t="n">
        <f aca="false">IF(C68="","",G68*I68^2)</f>
        <v>5160359.37678233</v>
      </c>
      <c r="L68" s="0" t="n">
        <f aca="false">IF(C68="","",1/12*D68*E68^3*(COS(DEGREES(F68)))^2)</f>
        <v>0.492075</v>
      </c>
      <c r="M68" s="0" t="n">
        <f aca="false">IF(C68="","",1/12*D68*E68^3*(SIN(DEGREES(F68)))^2)</f>
        <v>0</v>
      </c>
      <c r="N68" s="0" t="n">
        <f aca="false">IF(C68="","",L68+M68)</f>
        <v>0.492075</v>
      </c>
    </row>
    <row r="69" customFormat="false" ht="14.25" hidden="false" customHeight="false" outlineLevel="0" collapsed="false">
      <c r="B69" s="0" t="s">
        <v>81</v>
      </c>
      <c r="G69" s="0" t="str">
        <f aca="false">IF(C69="","",C69*D69*E69)</f>
        <v/>
      </c>
      <c r="J69" s="0" t="str">
        <f aca="false">IF(C69="","",G69*I69)</f>
        <v/>
      </c>
      <c r="K69" s="0" t="str">
        <f aca="false">IF(C69="","",G69*I69^2)</f>
        <v/>
      </c>
      <c r="L69" s="0" t="str">
        <f aca="false">IF(C69="","",1/12*D69*E69^3*(COS(DEGREES(F69)))^2)</f>
        <v/>
      </c>
      <c r="M69" s="0" t="str">
        <f aca="false">IF(C69="","",1/12*D69*E69^3*(SIN(DEGREES(F69)))^2)</f>
        <v/>
      </c>
      <c r="N69" s="0" t="str">
        <f aca="false">IF(C69="","",L69+M69)</f>
        <v/>
      </c>
    </row>
    <row r="70" customFormat="false" ht="14.25" hidden="false" customHeight="false" outlineLevel="0" collapsed="false">
      <c r="B70" s="2" t="s">
        <v>60</v>
      </c>
      <c r="C70" s="0" t="n">
        <v>2</v>
      </c>
      <c r="D70" s="0" t="n">
        <v>0.9</v>
      </c>
      <c r="E70" s="0" t="n">
        <v>15</v>
      </c>
      <c r="F70" s="0" t="n">
        <v>0</v>
      </c>
      <c r="G70" s="0" t="n">
        <f aca="false">IF(C70="","",C70*D70*E70)</f>
        <v>27</v>
      </c>
      <c r="H70" s="0" t="n">
        <f aca="false">5944.7362/10</f>
        <v>594.47362</v>
      </c>
      <c r="I70" s="0" t="n">
        <f aca="false">H70+(E70/2)</f>
        <v>601.97362</v>
      </c>
      <c r="J70" s="0" t="n">
        <f aca="false">IF(C70="","",G70*I70)</f>
        <v>16253.28774</v>
      </c>
      <c r="K70" s="0" t="n">
        <f aca="false">IF(C70="","",G70*I70^2)</f>
        <v>9784050.45774942</v>
      </c>
      <c r="L70" s="0" t="n">
        <f aca="false">IF(C70="","",1/12*D70*E70^3*(COS(DEGREES(F70)))^2)</f>
        <v>253.125</v>
      </c>
      <c r="M70" s="0" t="n">
        <f aca="false">IF(C70="","",1/12*D70*E70^3*(SIN(DEGREES(F70)))^2)</f>
        <v>0</v>
      </c>
      <c r="N70" s="0" t="n">
        <f aca="false">IF(C70="","",L70+M70)</f>
        <v>253.125</v>
      </c>
    </row>
    <row r="71" customFormat="false" ht="14.25" hidden="false" customHeight="false" outlineLevel="0" collapsed="false">
      <c r="B71" s="2" t="s">
        <v>61</v>
      </c>
      <c r="C71" s="0" t="n">
        <v>2</v>
      </c>
      <c r="D71" s="0" t="n">
        <v>8.1</v>
      </c>
      <c r="E71" s="0" t="n">
        <v>0.9</v>
      </c>
      <c r="F71" s="0" t="n">
        <v>0</v>
      </c>
      <c r="G71" s="0" t="n">
        <f aca="false">IF(C71="","",C71*D71*E71)</f>
        <v>14.58</v>
      </c>
      <c r="H71" s="0" t="n">
        <f aca="false">5944.7362/10</f>
        <v>594.47362</v>
      </c>
      <c r="I71" s="0" t="n">
        <f aca="false">H71+(E71/2)</f>
        <v>594.92362</v>
      </c>
      <c r="J71" s="0" t="n">
        <f aca="false">IF(C71="","",G71*I71)</f>
        <v>8673.9863796</v>
      </c>
      <c r="K71" s="0" t="n">
        <f aca="false">IF(C71="","",G71*I71^2)</f>
        <v>5160359.37678233</v>
      </c>
      <c r="L71" s="0" t="n">
        <f aca="false">IF(C71="","",1/12*D71*E71^3*(COS(DEGREES(F71)))^2)</f>
        <v>0.492075</v>
      </c>
      <c r="M71" s="0" t="n">
        <f aca="false">IF(C71="","",1/12*D71*E71^3*(SIN(DEGREES(F71)))^2)</f>
        <v>0</v>
      </c>
      <c r="N71" s="0" t="n">
        <f aca="false">IF(C71="","",L71+M71)</f>
        <v>0.492075</v>
      </c>
    </row>
    <row r="72" customFormat="false" ht="14.25" hidden="false" customHeight="false" outlineLevel="0" collapsed="false">
      <c r="B72" s="0" t="s">
        <v>82</v>
      </c>
      <c r="G72" s="0" t="str">
        <f aca="false">IF(C72="","",C72*D72*E72)</f>
        <v/>
      </c>
      <c r="J72" s="0" t="str">
        <f aca="false">IF(C72="","",G72*I72)</f>
        <v/>
      </c>
      <c r="K72" s="0" t="str">
        <f aca="false">IF(C72="","",G72*I72^2)</f>
        <v/>
      </c>
      <c r="L72" s="0" t="str">
        <f aca="false">IF(C72="","",1/12*D72*E72^3*(COS(DEGREES(F72)))^2)</f>
        <v/>
      </c>
      <c r="M72" s="0" t="str">
        <f aca="false">IF(C72="","",1/12*D72*E72^3*(SIN(DEGREES(F72)))^2)</f>
        <v/>
      </c>
      <c r="N72" s="0" t="str">
        <f aca="false">IF(C72="","",L72+M72)</f>
        <v/>
      </c>
    </row>
    <row r="73" customFormat="false" ht="14.25" hidden="false" customHeight="false" outlineLevel="0" collapsed="false">
      <c r="B73" s="2" t="s">
        <v>60</v>
      </c>
      <c r="C73" s="0" t="n">
        <v>2</v>
      </c>
      <c r="D73" s="0" t="n">
        <v>0.9</v>
      </c>
      <c r="E73" s="0" t="n">
        <v>15</v>
      </c>
      <c r="F73" s="0" t="n">
        <v>0</v>
      </c>
      <c r="G73" s="0" t="n">
        <f aca="false">IF(C73="","",C73*D73*E73)</f>
        <v>27</v>
      </c>
      <c r="H73" s="0" t="n">
        <f aca="false">5944.7362/10</f>
        <v>594.47362</v>
      </c>
      <c r="I73" s="0" t="n">
        <f aca="false">H73+(E73/2)</f>
        <v>601.97362</v>
      </c>
      <c r="J73" s="0" t="n">
        <f aca="false">IF(C73="","",G73*I73)</f>
        <v>16253.28774</v>
      </c>
      <c r="K73" s="0" t="n">
        <f aca="false">IF(C73="","",G73*I73^2)</f>
        <v>9784050.45774942</v>
      </c>
      <c r="L73" s="0" t="n">
        <f aca="false">IF(C73="","",1/12*D73*E73^3*(COS(DEGREES(F73)))^2)</f>
        <v>253.125</v>
      </c>
      <c r="M73" s="0" t="n">
        <f aca="false">IF(C73="","",1/12*D73*E73^3*(SIN(DEGREES(F73)))^2)</f>
        <v>0</v>
      </c>
      <c r="N73" s="0" t="n">
        <f aca="false">IF(C73="","",L73+M73)</f>
        <v>253.125</v>
      </c>
    </row>
    <row r="74" customFormat="false" ht="14.25" hidden="false" customHeight="false" outlineLevel="0" collapsed="false">
      <c r="B74" s="2" t="s">
        <v>61</v>
      </c>
      <c r="C74" s="0" t="n">
        <v>2</v>
      </c>
      <c r="D74" s="0" t="n">
        <v>8.1</v>
      </c>
      <c r="E74" s="0" t="n">
        <v>0.9</v>
      </c>
      <c r="F74" s="0" t="n">
        <v>0</v>
      </c>
      <c r="G74" s="0" t="n">
        <f aca="false">IF(C74="","",C74*D74*E74)</f>
        <v>14.58</v>
      </c>
      <c r="H74" s="0" t="n">
        <f aca="false">5944.7362/10</f>
        <v>594.47362</v>
      </c>
      <c r="I74" s="0" t="n">
        <f aca="false">H74+(E74/2)</f>
        <v>594.92362</v>
      </c>
      <c r="J74" s="0" t="n">
        <f aca="false">IF(C74="","",G74*I74)</f>
        <v>8673.9863796</v>
      </c>
      <c r="K74" s="0" t="n">
        <f aca="false">IF(C74="","",G74*I74^2)</f>
        <v>5160359.37678233</v>
      </c>
      <c r="L74" s="0" t="n">
        <f aca="false">IF(C74="","",1/12*D74*E74^3*(COS(DEGREES(F74)))^2)</f>
        <v>0.492075</v>
      </c>
      <c r="M74" s="0" t="n">
        <f aca="false">IF(C74="","",1/12*D74*E74^3*(SIN(DEGREES(F74)))^2)</f>
        <v>0</v>
      </c>
      <c r="N74" s="0" t="n">
        <f aca="false">IF(C74="","",L74+M74)</f>
        <v>0.492075</v>
      </c>
    </row>
    <row r="75" customFormat="false" ht="14.25" hidden="false" customHeight="false" outlineLevel="0" collapsed="false">
      <c r="B75" s="0" t="s">
        <v>83</v>
      </c>
      <c r="G75" s="0" t="str">
        <f aca="false">IF(C75="","",C75*D75*E75)</f>
        <v/>
      </c>
      <c r="J75" s="0" t="str">
        <f aca="false">IF(C75="","",G75*I75)</f>
        <v/>
      </c>
      <c r="K75" s="0" t="str">
        <f aca="false">IF(C75="","",G75*I75^2)</f>
        <v/>
      </c>
      <c r="L75" s="0" t="str">
        <f aca="false">IF(C75="","",1/12*D75*E75^3*(COS(DEGREES(F75)))^2)</f>
        <v/>
      </c>
      <c r="M75" s="0" t="str">
        <f aca="false">IF(C75="","",1/12*D75*E75^3*(SIN(DEGREES(F75)))^2)</f>
        <v/>
      </c>
      <c r="N75" s="0" t="str">
        <f aca="false">IF(C75="","",L75+M75)</f>
        <v/>
      </c>
    </row>
    <row r="76" customFormat="false" ht="14.25" hidden="false" customHeight="false" outlineLevel="0" collapsed="false">
      <c r="B76" s="2" t="s">
        <v>60</v>
      </c>
      <c r="C76" s="0" t="n">
        <v>2</v>
      </c>
      <c r="D76" s="0" t="n">
        <v>0.9</v>
      </c>
      <c r="E76" s="0" t="n">
        <v>15</v>
      </c>
      <c r="F76" s="0" t="n">
        <v>0</v>
      </c>
      <c r="G76" s="0" t="n">
        <f aca="false">IF(C76="","",C76*D76*E76)</f>
        <v>27</v>
      </c>
      <c r="H76" s="0" t="n">
        <f aca="false">5944.7362/10</f>
        <v>594.47362</v>
      </c>
      <c r="I76" s="0" t="n">
        <f aca="false">H76+(E76/2)</f>
        <v>601.97362</v>
      </c>
      <c r="J76" s="0" t="n">
        <f aca="false">IF(C76="","",G76*I76)</f>
        <v>16253.28774</v>
      </c>
      <c r="K76" s="0" t="n">
        <f aca="false">IF(C76="","",G76*I76^2)</f>
        <v>9784050.45774942</v>
      </c>
      <c r="L76" s="0" t="n">
        <f aca="false">IF(C76="","",1/12*D76*E76^3*(COS(DEGREES(F76)))^2)</f>
        <v>253.125</v>
      </c>
      <c r="M76" s="0" t="n">
        <f aca="false">IF(C76="","",1/12*D76*E76^3*(SIN(DEGREES(F76)))^2)</f>
        <v>0</v>
      </c>
      <c r="N76" s="0" t="n">
        <f aca="false">IF(C76="","",L76+M76)</f>
        <v>253.125</v>
      </c>
    </row>
    <row r="77" customFormat="false" ht="14.25" hidden="false" customHeight="false" outlineLevel="0" collapsed="false">
      <c r="B77" s="2" t="s">
        <v>61</v>
      </c>
      <c r="C77" s="0" t="n">
        <v>2</v>
      </c>
      <c r="D77" s="0" t="n">
        <v>8.1</v>
      </c>
      <c r="E77" s="0" t="n">
        <v>0.9</v>
      </c>
      <c r="F77" s="0" t="n">
        <v>0</v>
      </c>
      <c r="G77" s="0" t="n">
        <f aca="false">IF(C77="","",C77*D77*E77)</f>
        <v>14.58</v>
      </c>
      <c r="H77" s="0" t="n">
        <f aca="false">5944.7362/10</f>
        <v>594.47362</v>
      </c>
      <c r="I77" s="0" t="n">
        <f aca="false">H77+(E77/2)</f>
        <v>594.92362</v>
      </c>
      <c r="J77" s="0" t="n">
        <f aca="false">IF(C77="","",G77*I77)</f>
        <v>8673.9863796</v>
      </c>
      <c r="K77" s="0" t="n">
        <f aca="false">IF(C77="","",G77*I77^2)</f>
        <v>5160359.37678233</v>
      </c>
      <c r="L77" s="0" t="n">
        <f aca="false">IF(C77="","",1/12*D77*E77^3*(COS(DEGREES(F77)))^2)</f>
        <v>0.492075</v>
      </c>
      <c r="M77" s="0" t="n">
        <f aca="false">IF(C77="","",1/12*D77*E77^3*(SIN(DEGREES(F77)))^2)</f>
        <v>0</v>
      </c>
      <c r="N77" s="0" t="n">
        <f aca="false">IF(C77="","",L77+M77)</f>
        <v>0.492075</v>
      </c>
    </row>
    <row r="78" customFormat="false" ht="14.25" hidden="false" customHeight="false" outlineLevel="0" collapsed="false">
      <c r="B78" s="0" t="s">
        <v>84</v>
      </c>
      <c r="G78" s="0" t="str">
        <f aca="false">IF(C78="","",C78*D78*E78)</f>
        <v/>
      </c>
      <c r="J78" s="0" t="str">
        <f aca="false">IF(C78="","",G78*I78)</f>
        <v/>
      </c>
      <c r="K78" s="0" t="str">
        <f aca="false">IF(C78="","",G78*I78^2)</f>
        <v/>
      </c>
      <c r="L78" s="0" t="str">
        <f aca="false">IF(C78="","",1/12*D78*E78^3*(COS(DEGREES(F78)))^2)</f>
        <v/>
      </c>
      <c r="M78" s="0" t="str">
        <f aca="false">IF(C78="","",1/12*D78*E78^3*(SIN(DEGREES(F78)))^2)</f>
        <v/>
      </c>
      <c r="N78" s="0" t="str">
        <f aca="false">IF(C78="","",L78+M78)</f>
        <v/>
      </c>
    </row>
    <row r="79" customFormat="false" ht="14.25" hidden="false" customHeight="false" outlineLevel="0" collapsed="false">
      <c r="B79" s="2" t="s">
        <v>60</v>
      </c>
      <c r="C79" s="0" t="n">
        <v>2</v>
      </c>
      <c r="D79" s="0" t="n">
        <v>0.9</v>
      </c>
      <c r="E79" s="0" t="n">
        <v>15</v>
      </c>
      <c r="F79" s="0" t="n">
        <v>0</v>
      </c>
      <c r="G79" s="0" t="n">
        <f aca="false">IF(C79="","",C79*D79*E79)</f>
        <v>27</v>
      </c>
      <c r="H79" s="0" t="n">
        <f aca="false">5944.7362/10</f>
        <v>594.47362</v>
      </c>
      <c r="I79" s="0" t="n">
        <f aca="false">H79+(E79/2)</f>
        <v>601.97362</v>
      </c>
      <c r="J79" s="0" t="n">
        <f aca="false">IF(C79="","",G79*I79)</f>
        <v>16253.28774</v>
      </c>
      <c r="K79" s="0" t="n">
        <f aca="false">IF(C79="","",G79*I79^2)</f>
        <v>9784050.45774942</v>
      </c>
      <c r="L79" s="0" t="n">
        <f aca="false">IF(C79="","",1/12*D79*E79^3*(COS(DEGREES(F79)))^2)</f>
        <v>253.125</v>
      </c>
      <c r="M79" s="0" t="n">
        <f aca="false">IF(C79="","",1/12*D79*E79^3*(SIN(DEGREES(F79)))^2)</f>
        <v>0</v>
      </c>
      <c r="N79" s="0" t="n">
        <f aca="false">IF(C79="","",L79+M79)</f>
        <v>253.125</v>
      </c>
    </row>
    <row r="80" customFormat="false" ht="14.25" hidden="false" customHeight="false" outlineLevel="0" collapsed="false">
      <c r="B80" s="2" t="s">
        <v>61</v>
      </c>
      <c r="C80" s="0" t="n">
        <v>2</v>
      </c>
      <c r="D80" s="0" t="n">
        <v>8.1</v>
      </c>
      <c r="E80" s="0" t="n">
        <v>0.9</v>
      </c>
      <c r="F80" s="0" t="n">
        <v>0</v>
      </c>
      <c r="G80" s="0" t="n">
        <f aca="false">IF(C80="","",C80*D80*E80)</f>
        <v>14.58</v>
      </c>
      <c r="H80" s="0" t="n">
        <f aca="false">5944.7362/10</f>
        <v>594.47362</v>
      </c>
      <c r="I80" s="0" t="n">
        <f aca="false">H80+(E80/2)</f>
        <v>594.92362</v>
      </c>
      <c r="J80" s="0" t="n">
        <f aca="false">IF(C80="","",G80*I80)</f>
        <v>8673.9863796</v>
      </c>
      <c r="K80" s="0" t="n">
        <f aca="false">IF(C80="","",G80*I80^2)</f>
        <v>5160359.37678233</v>
      </c>
      <c r="L80" s="0" t="n">
        <f aca="false">IF(C80="","",1/12*D80*E80^3*(COS(DEGREES(F80)))^2)</f>
        <v>0.492075</v>
      </c>
      <c r="M80" s="0" t="n">
        <f aca="false">IF(C80="","",1/12*D80*E80^3*(SIN(DEGREES(F80)))^2)</f>
        <v>0</v>
      </c>
      <c r="N80" s="0" t="n">
        <f aca="false">IF(C80="","",L80+M80)</f>
        <v>0.492075</v>
      </c>
    </row>
    <row r="81" customFormat="false" ht="14.25" hidden="false" customHeight="false" outlineLevel="0" collapsed="false">
      <c r="B81" s="0" t="s">
        <v>85</v>
      </c>
      <c r="G81" s="0" t="str">
        <f aca="false">IF(C81="","",C81*D81*E81)</f>
        <v/>
      </c>
      <c r="J81" s="0" t="str">
        <f aca="false">IF(C81="","",G81*I81)</f>
        <v/>
      </c>
      <c r="K81" s="0" t="str">
        <f aca="false">IF(C81="","",G81*I81^2)</f>
        <v/>
      </c>
      <c r="L81" s="0" t="str">
        <f aca="false">IF(C81="","",1/12*D81*E81^3*(COS(DEGREES(F81)))^2)</f>
        <v/>
      </c>
      <c r="M81" s="0" t="str">
        <f aca="false">IF(C81="","",1/12*D81*E81^3*(SIN(DEGREES(F81)))^2)</f>
        <v/>
      </c>
      <c r="N81" s="0" t="str">
        <f aca="false">IF(C81="","",L81+M81)</f>
        <v/>
      </c>
    </row>
    <row r="82" customFormat="false" ht="14.25" hidden="false" customHeight="false" outlineLevel="0" collapsed="false">
      <c r="B82" s="2" t="s">
        <v>60</v>
      </c>
      <c r="C82" s="0" t="n">
        <v>2</v>
      </c>
      <c r="D82" s="0" t="n">
        <v>0.9</v>
      </c>
      <c r="E82" s="0" t="n">
        <v>15</v>
      </c>
      <c r="F82" s="0" t="n">
        <v>0</v>
      </c>
      <c r="G82" s="0" t="n">
        <f aca="false">IF(C82="","",C82*D82*E82)</f>
        <v>27</v>
      </c>
      <c r="H82" s="0" t="n">
        <f aca="false">5944.7362/10</f>
        <v>594.47362</v>
      </c>
      <c r="I82" s="0" t="n">
        <f aca="false">H82+(E82/2)</f>
        <v>601.97362</v>
      </c>
      <c r="J82" s="0" t="n">
        <f aca="false">IF(C82="","",G82*I82)</f>
        <v>16253.28774</v>
      </c>
      <c r="K82" s="0" t="n">
        <f aca="false">IF(C82="","",G82*I82^2)</f>
        <v>9784050.45774942</v>
      </c>
      <c r="L82" s="0" t="n">
        <f aca="false">IF(C82="","",1/12*D82*E82^3*(COS(DEGREES(F82)))^2)</f>
        <v>253.125</v>
      </c>
      <c r="M82" s="0" t="n">
        <f aca="false">IF(C82="","",1/12*D82*E82^3*(SIN(DEGREES(F82)))^2)</f>
        <v>0</v>
      </c>
      <c r="N82" s="0" t="n">
        <f aca="false">IF(C82="","",L82+M82)</f>
        <v>253.125</v>
      </c>
    </row>
    <row r="83" customFormat="false" ht="14.25" hidden="false" customHeight="false" outlineLevel="0" collapsed="false">
      <c r="B83" s="2" t="s">
        <v>61</v>
      </c>
      <c r="C83" s="0" t="n">
        <v>2</v>
      </c>
      <c r="D83" s="0" t="n">
        <v>8.1</v>
      </c>
      <c r="E83" s="0" t="n">
        <v>0.9</v>
      </c>
      <c r="F83" s="0" t="n">
        <v>0</v>
      </c>
      <c r="G83" s="0" t="n">
        <f aca="false">IF(C83="","",C83*D83*E83)</f>
        <v>14.58</v>
      </c>
      <c r="H83" s="0" t="n">
        <f aca="false">5944.7362/10</f>
        <v>594.47362</v>
      </c>
      <c r="I83" s="0" t="n">
        <f aca="false">H83+(E83/2)</f>
        <v>594.92362</v>
      </c>
      <c r="J83" s="0" t="n">
        <f aca="false">IF(C83="","",G83*I83)</f>
        <v>8673.9863796</v>
      </c>
      <c r="K83" s="0" t="n">
        <f aca="false">IF(C83="","",G83*I83^2)</f>
        <v>5160359.37678233</v>
      </c>
      <c r="L83" s="0" t="n">
        <f aca="false">IF(C83="","",1/12*D83*E83^3*(COS(DEGREES(F83)))^2)</f>
        <v>0.492075</v>
      </c>
      <c r="M83" s="0" t="n">
        <f aca="false">IF(C83="","",1/12*D83*E83^3*(SIN(DEGREES(F83)))^2)</f>
        <v>0</v>
      </c>
      <c r="N83" s="0" t="n">
        <f aca="false">IF(C83="","",L83+M83)</f>
        <v>0.492075</v>
      </c>
    </row>
    <row r="84" customFormat="false" ht="14.25" hidden="false" customHeight="false" outlineLevel="0" collapsed="false">
      <c r="B84" s="0" t="s">
        <v>86</v>
      </c>
      <c r="G84" s="0" t="str">
        <f aca="false">IF(C84="","",C84*D84*E84)</f>
        <v/>
      </c>
      <c r="J84" s="0" t="str">
        <f aca="false">IF(C84="","",G84*I84)</f>
        <v/>
      </c>
      <c r="K84" s="0" t="str">
        <f aca="false">IF(C84="","",G84*I84^2)</f>
        <v/>
      </c>
      <c r="L84" s="0" t="str">
        <f aca="false">IF(C84="","",1/12*D84*E84^3*(COS(DEGREES(F84)))^2)</f>
        <v/>
      </c>
      <c r="M84" s="0" t="str">
        <f aca="false">IF(C84="","",1/12*D84*E84^3*(SIN(DEGREES(F84)))^2)</f>
        <v/>
      </c>
      <c r="N84" s="0" t="str">
        <f aca="false">IF(C84="","",L84+M84)</f>
        <v/>
      </c>
    </row>
    <row r="85" customFormat="false" ht="14.25" hidden="false" customHeight="false" outlineLevel="0" collapsed="false">
      <c r="B85" s="2" t="s">
        <v>60</v>
      </c>
      <c r="C85" s="0" t="n">
        <v>2</v>
      </c>
      <c r="D85" s="0" t="n">
        <v>0.9</v>
      </c>
      <c r="E85" s="0" t="n">
        <v>15</v>
      </c>
      <c r="F85" s="0" t="n">
        <v>0</v>
      </c>
      <c r="G85" s="0" t="n">
        <f aca="false">IF(C85="","",C85*D85*E85)</f>
        <v>27</v>
      </c>
      <c r="H85" s="0" t="n">
        <f aca="false">5944.7362/10</f>
        <v>594.47362</v>
      </c>
      <c r="I85" s="0" t="n">
        <f aca="false">H85+(E85/2)</f>
        <v>601.97362</v>
      </c>
      <c r="J85" s="0" t="n">
        <f aca="false">IF(C85="","",G85*I85)</f>
        <v>16253.28774</v>
      </c>
      <c r="K85" s="0" t="n">
        <f aca="false">IF(C85="","",G85*I85^2)</f>
        <v>9784050.45774942</v>
      </c>
      <c r="L85" s="0" t="n">
        <f aca="false">IF(C85="","",1/12*D85*E85^3*(COS(DEGREES(F85)))^2)</f>
        <v>253.125</v>
      </c>
      <c r="M85" s="0" t="n">
        <f aca="false">IF(C85="","",1/12*D85*E85^3*(SIN(DEGREES(F85)))^2)</f>
        <v>0</v>
      </c>
      <c r="N85" s="0" t="n">
        <f aca="false">IF(C85="","",L85+M85)</f>
        <v>253.125</v>
      </c>
    </row>
    <row r="86" customFormat="false" ht="14.25" hidden="false" customHeight="false" outlineLevel="0" collapsed="false">
      <c r="B86" s="2" t="s">
        <v>61</v>
      </c>
      <c r="C86" s="0" t="n">
        <v>2</v>
      </c>
      <c r="D86" s="0" t="n">
        <v>8.1</v>
      </c>
      <c r="E86" s="0" t="n">
        <v>0.9</v>
      </c>
      <c r="F86" s="0" t="n">
        <v>0</v>
      </c>
      <c r="G86" s="0" t="n">
        <f aca="false">IF(C86="","",C86*D86*E86)</f>
        <v>14.58</v>
      </c>
      <c r="H86" s="0" t="n">
        <f aca="false">5944.7362/10</f>
        <v>594.47362</v>
      </c>
      <c r="I86" s="0" t="n">
        <f aca="false">H86+(E86/2)</f>
        <v>594.92362</v>
      </c>
      <c r="J86" s="0" t="n">
        <f aca="false">IF(C86="","",G86*I86)</f>
        <v>8673.9863796</v>
      </c>
      <c r="K86" s="0" t="n">
        <f aca="false">IF(C86="","",G86*I86^2)</f>
        <v>5160359.37678233</v>
      </c>
      <c r="L86" s="0" t="n">
        <f aca="false">IF(C86="","",1/12*D86*E86^3*(COS(DEGREES(F86)))^2)</f>
        <v>0.492075</v>
      </c>
      <c r="M86" s="0" t="n">
        <f aca="false">IF(C86="","",1/12*D86*E86^3*(SIN(DEGREES(F86)))^2)</f>
        <v>0</v>
      </c>
      <c r="N86" s="0" t="n">
        <f aca="false">IF(C86="","",L86+M86)</f>
        <v>0.492075</v>
      </c>
    </row>
    <row r="87" customFormat="false" ht="14.25" hidden="false" customHeight="false" outlineLevel="0" collapsed="false">
      <c r="B87" s="0" t="s">
        <v>87</v>
      </c>
      <c r="G87" s="0" t="str">
        <f aca="false">IF(C87="","",C87*D87*E87)</f>
        <v/>
      </c>
      <c r="J87" s="0" t="str">
        <f aca="false">IF(C87="","",G87*I87)</f>
        <v/>
      </c>
      <c r="K87" s="0" t="str">
        <f aca="false">IF(C87="","",G87*I87^2)</f>
        <v/>
      </c>
      <c r="L87" s="0" t="str">
        <f aca="false">IF(C87="","",1/12*D87*E87^3*(COS(DEGREES(F87)))^2)</f>
        <v/>
      </c>
      <c r="M87" s="0" t="str">
        <f aca="false">IF(C87="","",1/12*D87*E87^3*(SIN(DEGREES(F87)))^2)</f>
        <v/>
      </c>
      <c r="N87" s="0" t="str">
        <f aca="false">IF(C87="","",L87+M87)</f>
        <v/>
      </c>
    </row>
    <row r="88" customFormat="false" ht="14.25" hidden="false" customHeight="false" outlineLevel="0" collapsed="false">
      <c r="B88" s="2" t="s">
        <v>60</v>
      </c>
      <c r="C88" s="0" t="n">
        <v>2</v>
      </c>
      <c r="D88" s="0" t="n">
        <v>0.9</v>
      </c>
      <c r="E88" s="0" t="n">
        <v>15</v>
      </c>
      <c r="F88" s="0" t="n">
        <v>0</v>
      </c>
      <c r="G88" s="0" t="n">
        <f aca="false">IF(C88="","",C88*D88*E88)</f>
        <v>27</v>
      </c>
      <c r="H88" s="0" t="n">
        <f aca="false">5944.7362/10</f>
        <v>594.47362</v>
      </c>
      <c r="I88" s="0" t="n">
        <f aca="false">H88+(E88/2)</f>
        <v>601.97362</v>
      </c>
      <c r="J88" s="0" t="n">
        <f aca="false">IF(C88="","",G88*I88)</f>
        <v>16253.28774</v>
      </c>
      <c r="K88" s="0" t="n">
        <f aca="false">IF(C88="","",G88*I88^2)</f>
        <v>9784050.45774942</v>
      </c>
      <c r="L88" s="0" t="n">
        <f aca="false">IF(C88="","",1/12*D88*E88^3*(COS(DEGREES(F88)))^2)</f>
        <v>253.125</v>
      </c>
      <c r="M88" s="0" t="n">
        <f aca="false">IF(C88="","",1/12*D88*E88^3*(SIN(DEGREES(F88)))^2)</f>
        <v>0</v>
      </c>
      <c r="N88" s="0" t="n">
        <f aca="false">IF(C88="","",L88+M88)</f>
        <v>253.125</v>
      </c>
    </row>
    <row r="89" customFormat="false" ht="14.25" hidden="false" customHeight="false" outlineLevel="0" collapsed="false">
      <c r="B89" s="2" t="s">
        <v>61</v>
      </c>
      <c r="C89" s="0" t="n">
        <v>2</v>
      </c>
      <c r="D89" s="0" t="n">
        <v>8.1</v>
      </c>
      <c r="E89" s="0" t="n">
        <v>0.9</v>
      </c>
      <c r="F89" s="0" t="n">
        <v>0</v>
      </c>
      <c r="G89" s="0" t="n">
        <f aca="false">IF(C89="","",C89*D89*E89)</f>
        <v>14.58</v>
      </c>
      <c r="H89" s="0" t="n">
        <f aca="false">5944.7362/10</f>
        <v>594.47362</v>
      </c>
      <c r="I89" s="0" t="n">
        <f aca="false">H89+(E89/2)</f>
        <v>594.92362</v>
      </c>
      <c r="J89" s="0" t="n">
        <f aca="false">IF(C89="","",G89*I89)</f>
        <v>8673.9863796</v>
      </c>
      <c r="K89" s="0" t="n">
        <f aca="false">IF(C89="","",G89*I89^2)</f>
        <v>5160359.37678233</v>
      </c>
      <c r="L89" s="0" t="n">
        <f aca="false">IF(C89="","",1/12*D89*E89^3*(COS(DEGREES(F89)))^2)</f>
        <v>0.492075</v>
      </c>
      <c r="M89" s="0" t="n">
        <f aca="false">IF(C89="","",1/12*D89*E89^3*(SIN(DEGREES(F89)))^2)</f>
        <v>0</v>
      </c>
      <c r="N89" s="0" t="n">
        <f aca="false">IF(C89="","",L89+M89)</f>
        <v>0.492075</v>
      </c>
    </row>
    <row r="90" customFormat="false" ht="14.25" hidden="false" customHeight="false" outlineLevel="0" collapsed="false">
      <c r="B90" s="0" t="s">
        <v>88</v>
      </c>
      <c r="G90" s="0" t="str">
        <f aca="false">IF(C90="","",C90*D90*E90)</f>
        <v/>
      </c>
      <c r="J90" s="0" t="str">
        <f aca="false">IF(C90="","",G90*I90)</f>
        <v/>
      </c>
      <c r="K90" s="0" t="str">
        <f aca="false">IF(C90="","",G90*I90^2)</f>
        <v/>
      </c>
      <c r="L90" s="0" t="str">
        <f aca="false">IF(C90="","",1/12*D90*E90^3*(COS(DEGREES(F90)))^2)</f>
        <v/>
      </c>
      <c r="M90" s="0" t="str">
        <f aca="false">IF(C90="","",1/12*D90*E90^3*(SIN(DEGREES(F90)))^2)</f>
        <v/>
      </c>
      <c r="N90" s="0" t="str">
        <f aca="false">IF(C90="","",L90+M90)</f>
        <v/>
      </c>
    </row>
    <row r="91" customFormat="false" ht="14.25" hidden="false" customHeight="false" outlineLevel="0" collapsed="false">
      <c r="B91" s="2" t="s">
        <v>60</v>
      </c>
      <c r="C91" s="0" t="n">
        <v>2</v>
      </c>
      <c r="D91" s="0" t="n">
        <v>0.9</v>
      </c>
      <c r="E91" s="0" t="n">
        <v>15</v>
      </c>
      <c r="F91" s="0" t="n">
        <v>0</v>
      </c>
      <c r="G91" s="0" t="n">
        <f aca="false">IF(C91="","",C91*D91*E91)</f>
        <v>27</v>
      </c>
      <c r="H91" s="0" t="n">
        <f aca="false">5944.7362/10</f>
        <v>594.47362</v>
      </c>
      <c r="I91" s="0" t="n">
        <f aca="false">H91+(E91/2)</f>
        <v>601.97362</v>
      </c>
      <c r="J91" s="0" t="n">
        <f aca="false">IF(C91="","",G91*I91)</f>
        <v>16253.28774</v>
      </c>
      <c r="K91" s="0" t="n">
        <f aca="false">IF(C91="","",G91*I91^2)</f>
        <v>9784050.45774942</v>
      </c>
      <c r="L91" s="0" t="n">
        <f aca="false">IF(C91="","",1/12*D91*E91^3*(COS(DEGREES(F91)))^2)</f>
        <v>253.125</v>
      </c>
      <c r="M91" s="0" t="n">
        <f aca="false">IF(C91="","",1/12*D91*E91^3*(SIN(DEGREES(F91)))^2)</f>
        <v>0</v>
      </c>
      <c r="N91" s="0" t="n">
        <f aca="false">IF(C91="","",L91+M91)</f>
        <v>253.125</v>
      </c>
    </row>
    <row r="92" customFormat="false" ht="14.25" hidden="false" customHeight="false" outlineLevel="0" collapsed="false">
      <c r="B92" s="2" t="s">
        <v>61</v>
      </c>
      <c r="C92" s="0" t="n">
        <v>2</v>
      </c>
      <c r="D92" s="0" t="n">
        <v>8.1</v>
      </c>
      <c r="E92" s="0" t="n">
        <v>0.9</v>
      </c>
      <c r="F92" s="0" t="n">
        <v>0</v>
      </c>
      <c r="G92" s="0" t="n">
        <f aca="false">IF(C92="","",C92*D92*E92)</f>
        <v>14.58</v>
      </c>
      <c r="H92" s="0" t="n">
        <f aca="false">5944.7362/10</f>
        <v>594.47362</v>
      </c>
      <c r="I92" s="0" t="n">
        <f aca="false">H92+(E92/2)</f>
        <v>594.92362</v>
      </c>
      <c r="J92" s="0" t="n">
        <f aca="false">IF(C92="","",G92*I92)</f>
        <v>8673.9863796</v>
      </c>
      <c r="K92" s="0" t="n">
        <f aca="false">IF(C92="","",G92*I92^2)</f>
        <v>5160359.37678233</v>
      </c>
      <c r="L92" s="0" t="n">
        <f aca="false">IF(C92="","",1/12*D92*E92^3*(COS(DEGREES(F92)))^2)</f>
        <v>0.492075</v>
      </c>
      <c r="M92" s="0" t="n">
        <f aca="false">IF(C92="","",1/12*D92*E92^3*(SIN(DEGREES(F92)))^2)</f>
        <v>0</v>
      </c>
      <c r="N92" s="0" t="n">
        <f aca="false">IF(C92="","",L92+M92)</f>
        <v>0.492075</v>
      </c>
    </row>
    <row r="93" customFormat="false" ht="14.25" hidden="false" customHeight="false" outlineLevel="0" collapsed="false">
      <c r="B93" s="0" t="s">
        <v>89</v>
      </c>
      <c r="G93" s="0" t="str">
        <f aca="false">IF(C93="","",C93*D93*E93)</f>
        <v/>
      </c>
      <c r="J93" s="0" t="str">
        <f aca="false">IF(C93="","",G93*I93)</f>
        <v/>
      </c>
      <c r="K93" s="0" t="str">
        <f aca="false">IF(C93="","",G93*I93^2)</f>
        <v/>
      </c>
      <c r="L93" s="0" t="str">
        <f aca="false">IF(C93="","",1/12*D93*E93^3*(COS(DEGREES(F93)))^2)</f>
        <v/>
      </c>
      <c r="M93" s="0" t="str">
        <f aca="false">IF(C93="","",1/12*D93*E93^3*(SIN(DEGREES(F93)))^2)</f>
        <v/>
      </c>
      <c r="N93" s="0" t="str">
        <f aca="false">IF(C93="","",L93+M93)</f>
        <v/>
      </c>
    </row>
    <row r="94" customFormat="false" ht="14.25" hidden="false" customHeight="false" outlineLevel="0" collapsed="false">
      <c r="B94" s="2" t="s">
        <v>60</v>
      </c>
      <c r="C94" s="0" t="n">
        <v>2</v>
      </c>
      <c r="D94" s="0" t="n">
        <v>0.9</v>
      </c>
      <c r="E94" s="0" t="n">
        <v>15</v>
      </c>
      <c r="F94" s="0" t="n">
        <v>0</v>
      </c>
      <c r="G94" s="0" t="n">
        <f aca="false">IF(C94="","",C94*D94*E94)</f>
        <v>27</v>
      </c>
      <c r="H94" s="0" t="n">
        <f aca="false">5944.7362/10</f>
        <v>594.47362</v>
      </c>
      <c r="I94" s="0" t="n">
        <f aca="false">H94+(E94/2)</f>
        <v>601.97362</v>
      </c>
      <c r="J94" s="0" t="n">
        <f aca="false">IF(C94="","",G94*I94)</f>
        <v>16253.28774</v>
      </c>
      <c r="K94" s="0" t="n">
        <f aca="false">IF(C94="","",G94*I94^2)</f>
        <v>9784050.45774942</v>
      </c>
      <c r="L94" s="0" t="n">
        <f aca="false">IF(C94="","",1/12*D94*E94^3*(COS(DEGREES(F94)))^2)</f>
        <v>253.125</v>
      </c>
      <c r="M94" s="0" t="n">
        <f aca="false">IF(C94="","",1/12*D94*E94^3*(SIN(DEGREES(F94)))^2)</f>
        <v>0</v>
      </c>
      <c r="N94" s="0" t="n">
        <f aca="false">IF(C94="","",L94+M94)</f>
        <v>253.125</v>
      </c>
    </row>
    <row r="95" customFormat="false" ht="14.25" hidden="false" customHeight="false" outlineLevel="0" collapsed="false">
      <c r="B95" s="2" t="s">
        <v>61</v>
      </c>
      <c r="C95" s="0" t="n">
        <v>2</v>
      </c>
      <c r="D95" s="0" t="n">
        <v>8.1</v>
      </c>
      <c r="E95" s="0" t="n">
        <v>0.9</v>
      </c>
      <c r="F95" s="0" t="n">
        <v>0</v>
      </c>
      <c r="G95" s="0" t="n">
        <f aca="false">IF(C95="","",C95*D95*E95)</f>
        <v>14.58</v>
      </c>
      <c r="H95" s="0" t="n">
        <f aca="false">5944.7362/10</f>
        <v>594.47362</v>
      </c>
      <c r="I95" s="0" t="n">
        <f aca="false">H95+(E95/2)</f>
        <v>594.92362</v>
      </c>
      <c r="J95" s="0" t="n">
        <f aca="false">IF(C95="","",G95*I95)</f>
        <v>8673.9863796</v>
      </c>
      <c r="K95" s="0" t="n">
        <f aca="false">IF(C95="","",G95*I95^2)</f>
        <v>5160359.37678233</v>
      </c>
      <c r="L95" s="0" t="n">
        <f aca="false">IF(C95="","",1/12*D95*E95^3*(COS(DEGREES(F95)))^2)</f>
        <v>0.492075</v>
      </c>
      <c r="M95" s="0" t="n">
        <f aca="false">IF(C95="","",1/12*D95*E95^3*(SIN(DEGREES(F95)))^2)</f>
        <v>0</v>
      </c>
      <c r="N95" s="0" t="n">
        <f aca="false">IF(C95="","",L95+M95)</f>
        <v>0.492075</v>
      </c>
    </row>
    <row r="96" customFormat="false" ht="14.25" hidden="false" customHeight="false" outlineLevel="0" collapsed="false">
      <c r="B96" s="0" t="s">
        <v>90</v>
      </c>
      <c r="G96" s="0" t="str">
        <f aca="false">IF(C96="","",C96*D96*E96)</f>
        <v/>
      </c>
      <c r="J96" s="0" t="str">
        <f aca="false">IF(C96="","",G96*I96)</f>
        <v/>
      </c>
      <c r="K96" s="0" t="str">
        <f aca="false">IF(C96="","",G96*I96^2)</f>
        <v/>
      </c>
      <c r="L96" s="0" t="str">
        <f aca="false">IF(C96="","",1/12*D96*E96^3*(COS(DEGREES(F96)))^2)</f>
        <v/>
      </c>
      <c r="M96" s="0" t="str">
        <f aca="false">IF(C96="","",1/12*D96*E96^3*(SIN(DEGREES(F96)))^2)</f>
        <v/>
      </c>
      <c r="N96" s="0" t="str">
        <f aca="false">IF(C96="","",L96+M96)</f>
        <v/>
      </c>
    </row>
    <row r="97" customFormat="false" ht="14.25" hidden="false" customHeight="false" outlineLevel="0" collapsed="false">
      <c r="B97" s="2" t="s">
        <v>60</v>
      </c>
      <c r="C97" s="0" t="n">
        <v>2</v>
      </c>
      <c r="D97" s="0" t="n">
        <v>0.9</v>
      </c>
      <c r="E97" s="0" t="n">
        <v>15</v>
      </c>
      <c r="F97" s="0" t="n">
        <v>0</v>
      </c>
      <c r="G97" s="0" t="n">
        <f aca="false">IF(C97="","",C97*D97*E97)</f>
        <v>27</v>
      </c>
      <c r="H97" s="0" t="n">
        <f aca="false">5944.7362/10</f>
        <v>594.47362</v>
      </c>
      <c r="I97" s="0" t="n">
        <f aca="false">H97+(E97/2)</f>
        <v>601.97362</v>
      </c>
      <c r="J97" s="0" t="n">
        <f aca="false">IF(C97="","",G97*I97)</f>
        <v>16253.28774</v>
      </c>
      <c r="K97" s="0" t="n">
        <f aca="false">IF(C97="","",G97*I97^2)</f>
        <v>9784050.45774942</v>
      </c>
      <c r="L97" s="0" t="n">
        <f aca="false">IF(C97="","",1/12*D97*E97^3*(COS(DEGREES(F97)))^2)</f>
        <v>253.125</v>
      </c>
      <c r="M97" s="0" t="n">
        <f aca="false">IF(C97="","",1/12*D97*E97^3*(SIN(DEGREES(F97)))^2)</f>
        <v>0</v>
      </c>
      <c r="N97" s="0" t="n">
        <f aca="false">IF(C97="","",L97+M97)</f>
        <v>253.125</v>
      </c>
    </row>
    <row r="98" customFormat="false" ht="14.25" hidden="false" customHeight="false" outlineLevel="0" collapsed="false">
      <c r="B98" s="2" t="s">
        <v>61</v>
      </c>
      <c r="C98" s="0" t="n">
        <v>2</v>
      </c>
      <c r="D98" s="0" t="n">
        <v>8.1</v>
      </c>
      <c r="E98" s="0" t="n">
        <v>0.9</v>
      </c>
      <c r="F98" s="0" t="n">
        <v>0</v>
      </c>
      <c r="G98" s="0" t="n">
        <f aca="false">IF(C98="","",C98*D98*E98)</f>
        <v>14.58</v>
      </c>
      <c r="H98" s="0" t="n">
        <f aca="false">5944.7362/10</f>
        <v>594.47362</v>
      </c>
      <c r="I98" s="0" t="n">
        <f aca="false">H98+(E98/2)</f>
        <v>594.92362</v>
      </c>
      <c r="J98" s="0" t="n">
        <f aca="false">IF(C98="","",G98*I98)</f>
        <v>8673.9863796</v>
      </c>
      <c r="K98" s="0" t="n">
        <f aca="false">IF(C98="","",G98*I98^2)</f>
        <v>5160359.37678233</v>
      </c>
      <c r="L98" s="0" t="n">
        <f aca="false">IF(C98="","",1/12*D98*E98^3*(COS(DEGREES(F98)))^2)</f>
        <v>0.492075</v>
      </c>
      <c r="M98" s="0" t="n">
        <f aca="false">IF(C98="","",1/12*D98*E98^3*(SIN(DEGREES(F98)))^2)</f>
        <v>0</v>
      </c>
      <c r="N98" s="0" t="n">
        <f aca="false">IF(C98="","",L98+M98)</f>
        <v>0.492075</v>
      </c>
    </row>
    <row r="99" customFormat="false" ht="14.25" hidden="false" customHeight="false" outlineLevel="0" collapsed="false">
      <c r="B99" s="0" t="s">
        <v>91</v>
      </c>
      <c r="G99" s="0" t="str">
        <f aca="false">IF(C99="","",C99*D99*E99)</f>
        <v/>
      </c>
      <c r="J99" s="0" t="str">
        <f aca="false">IF(C99="","",G99*I99)</f>
        <v/>
      </c>
      <c r="K99" s="0" t="str">
        <f aca="false">IF(C99="","",G99*I99^2)</f>
        <v/>
      </c>
      <c r="L99" s="0" t="str">
        <f aca="false">IF(C99="","",1/12*D99*E99^3*(COS(DEGREES(F99)))^2)</f>
        <v/>
      </c>
      <c r="M99" s="0" t="str">
        <f aca="false">IF(C99="","",1/12*D99*E99^3*(SIN(DEGREES(F99)))^2)</f>
        <v/>
      </c>
      <c r="N99" s="0" t="str">
        <f aca="false">IF(C99="","",L99+M99)</f>
        <v/>
      </c>
    </row>
    <row r="100" customFormat="false" ht="14.25" hidden="false" customHeight="false" outlineLevel="0" collapsed="false">
      <c r="B100" s="2" t="s">
        <v>60</v>
      </c>
      <c r="C100" s="0" t="n">
        <v>2</v>
      </c>
      <c r="D100" s="0" t="n">
        <v>0.9</v>
      </c>
      <c r="E100" s="0" t="n">
        <v>15</v>
      </c>
      <c r="F100" s="0" t="n">
        <v>0</v>
      </c>
      <c r="G100" s="0" t="n">
        <f aca="false">IF(C100="","",C100*D100*E100)</f>
        <v>27</v>
      </c>
      <c r="H100" s="0" t="n">
        <f aca="false">5944.7362/10</f>
        <v>594.47362</v>
      </c>
      <c r="I100" s="0" t="n">
        <f aca="false">H100+(E100/2)</f>
        <v>601.97362</v>
      </c>
      <c r="J100" s="0" t="n">
        <f aca="false">IF(C100="","",G100*I100)</f>
        <v>16253.28774</v>
      </c>
      <c r="K100" s="0" t="n">
        <f aca="false">IF(C100="","",G100*I100^2)</f>
        <v>9784050.45774942</v>
      </c>
      <c r="L100" s="0" t="n">
        <f aca="false">IF(C100="","",1/12*D100*E100^3*(COS(DEGREES(F100)))^2)</f>
        <v>253.125</v>
      </c>
      <c r="M100" s="0" t="n">
        <f aca="false">IF(C100="","",1/12*D100*E100^3*(SIN(DEGREES(F100)))^2)</f>
        <v>0</v>
      </c>
      <c r="N100" s="0" t="n">
        <f aca="false">IF(C100="","",L100+M100)</f>
        <v>253.125</v>
      </c>
    </row>
    <row r="101" customFormat="false" ht="14.25" hidden="false" customHeight="false" outlineLevel="0" collapsed="false">
      <c r="B101" s="2" t="s">
        <v>61</v>
      </c>
      <c r="C101" s="0" t="n">
        <v>2</v>
      </c>
      <c r="D101" s="0" t="n">
        <v>8.1</v>
      </c>
      <c r="E101" s="0" t="n">
        <v>0.9</v>
      </c>
      <c r="F101" s="0" t="n">
        <v>0</v>
      </c>
      <c r="G101" s="0" t="n">
        <f aca="false">IF(C101="","",C101*D101*E101)</f>
        <v>14.58</v>
      </c>
      <c r="H101" s="0" t="n">
        <f aca="false">5944.7362/10</f>
        <v>594.47362</v>
      </c>
      <c r="I101" s="0" t="n">
        <f aca="false">H101+(E101/2)</f>
        <v>594.92362</v>
      </c>
      <c r="J101" s="0" t="n">
        <f aca="false">IF(C101="","",G101*I101)</f>
        <v>8673.9863796</v>
      </c>
      <c r="K101" s="0" t="n">
        <f aca="false">IF(C101="","",G101*I101^2)</f>
        <v>5160359.37678233</v>
      </c>
      <c r="L101" s="0" t="n">
        <f aca="false">IF(C101="","",1/12*D101*E101^3*(COS(DEGREES(F101)))^2)</f>
        <v>0.492075</v>
      </c>
      <c r="M101" s="0" t="n">
        <f aca="false">IF(C101="","",1/12*D101*E101^3*(SIN(DEGREES(F101)))^2)</f>
        <v>0</v>
      </c>
      <c r="N101" s="0" t="n">
        <f aca="false">IF(C101="","",L101+M101)</f>
        <v>0.492075</v>
      </c>
    </row>
    <row r="102" customFormat="false" ht="14.25" hidden="false" customHeight="false" outlineLevel="0" collapsed="false">
      <c r="B102" s="0" t="s">
        <v>92</v>
      </c>
      <c r="G102" s="0" t="str">
        <f aca="false">IF(C102="","",C102*D102*E102)</f>
        <v/>
      </c>
      <c r="J102" s="0" t="str">
        <f aca="false">IF(C102="","",G102*I102)</f>
        <v/>
      </c>
      <c r="K102" s="0" t="str">
        <f aca="false">IF(C102="","",G102*I102^2)</f>
        <v/>
      </c>
      <c r="L102" s="0" t="str">
        <f aca="false">IF(C102="","",1/12*D102*E102^3*(COS(DEGREES(F102)))^2)</f>
        <v/>
      </c>
      <c r="M102" s="0" t="str">
        <f aca="false">IF(C102="","",1/12*D102*E102^3*(SIN(DEGREES(F102)))^2)</f>
        <v/>
      </c>
      <c r="N102" s="0" t="str">
        <f aca="false">IF(C102="","",L102+M102)</f>
        <v/>
      </c>
    </row>
    <row r="103" customFormat="false" ht="14.25" hidden="false" customHeight="false" outlineLevel="0" collapsed="false">
      <c r="B103" s="2" t="s">
        <v>60</v>
      </c>
      <c r="C103" s="0" t="n">
        <v>2</v>
      </c>
      <c r="D103" s="0" t="n">
        <v>0.9</v>
      </c>
      <c r="E103" s="0" t="n">
        <v>15</v>
      </c>
      <c r="F103" s="0" t="n">
        <v>0</v>
      </c>
      <c r="G103" s="0" t="n">
        <f aca="false">IF(C103="","",C103*D103*E103)</f>
        <v>27</v>
      </c>
      <c r="H103" s="0" t="n">
        <f aca="false">5944.7362/10</f>
        <v>594.47362</v>
      </c>
      <c r="I103" s="0" t="n">
        <f aca="false">H103+(E103/2)</f>
        <v>601.97362</v>
      </c>
      <c r="J103" s="0" t="n">
        <f aca="false">IF(C103="","",G103*I103)</f>
        <v>16253.28774</v>
      </c>
      <c r="K103" s="0" t="n">
        <f aca="false">IF(C103="","",G103*I103^2)</f>
        <v>9784050.45774942</v>
      </c>
      <c r="L103" s="0" t="n">
        <f aca="false">IF(C103="","",1/12*D103*E103^3*(COS(DEGREES(F103)))^2)</f>
        <v>253.125</v>
      </c>
      <c r="M103" s="0" t="n">
        <f aca="false">IF(C103="","",1/12*D103*E103^3*(SIN(DEGREES(F103)))^2)</f>
        <v>0</v>
      </c>
      <c r="N103" s="0" t="n">
        <f aca="false">IF(C103="","",L103+M103)</f>
        <v>253.125</v>
      </c>
    </row>
    <row r="104" customFormat="false" ht="14.25" hidden="false" customHeight="false" outlineLevel="0" collapsed="false">
      <c r="B104" s="2" t="s">
        <v>61</v>
      </c>
      <c r="C104" s="0" t="n">
        <v>2</v>
      </c>
      <c r="D104" s="0" t="n">
        <v>8.1</v>
      </c>
      <c r="E104" s="0" t="n">
        <v>0.9</v>
      </c>
      <c r="F104" s="0" t="n">
        <v>0</v>
      </c>
      <c r="G104" s="0" t="n">
        <f aca="false">IF(C104="","",C104*D104*E104)</f>
        <v>14.58</v>
      </c>
      <c r="H104" s="0" t="n">
        <f aca="false">5944.7362/10</f>
        <v>594.47362</v>
      </c>
      <c r="I104" s="0" t="n">
        <f aca="false">H104+(E104/2)</f>
        <v>594.92362</v>
      </c>
      <c r="J104" s="0" t="n">
        <f aca="false">IF(C104="","",G104*I104)</f>
        <v>8673.9863796</v>
      </c>
      <c r="K104" s="0" t="n">
        <f aca="false">IF(C104="","",G104*I104^2)</f>
        <v>5160359.37678233</v>
      </c>
      <c r="L104" s="0" t="n">
        <f aca="false">IF(C104="","",1/12*D104*E104^3*(COS(DEGREES(F104)))^2)</f>
        <v>0.492075</v>
      </c>
      <c r="M104" s="0" t="n">
        <f aca="false">IF(C104="","",1/12*D104*E104^3*(SIN(DEGREES(F104)))^2)</f>
        <v>0</v>
      </c>
      <c r="N104" s="0" t="n">
        <f aca="false">IF(C104="","",L104+M104)</f>
        <v>0.492075</v>
      </c>
    </row>
    <row r="105" customFormat="false" ht="14.25" hidden="false" customHeight="false" outlineLevel="0" collapsed="false">
      <c r="B105" s="0" t="s">
        <v>93</v>
      </c>
      <c r="G105" s="0" t="str">
        <f aca="false">IF(C105="","",C105*D105*E105)</f>
        <v/>
      </c>
      <c r="J105" s="0" t="str">
        <f aca="false">IF(C105="","",G105*I105)</f>
        <v/>
      </c>
      <c r="K105" s="0" t="str">
        <f aca="false">IF(C105="","",G105*I105^2)</f>
        <v/>
      </c>
      <c r="L105" s="0" t="str">
        <f aca="false">IF(C105="","",1/12*D105*E105^3*(COS(DEGREES(F105)))^2)</f>
        <v/>
      </c>
      <c r="M105" s="0" t="str">
        <f aca="false">IF(C105="","",1/12*D105*E105^3*(SIN(DEGREES(F105)))^2)</f>
        <v/>
      </c>
      <c r="N105" s="0" t="str">
        <f aca="false">IF(C105="","",L105+M105)</f>
        <v/>
      </c>
    </row>
    <row r="106" customFormat="false" ht="14.25" hidden="false" customHeight="false" outlineLevel="0" collapsed="false">
      <c r="B106" s="2" t="s">
        <v>60</v>
      </c>
      <c r="C106" s="0" t="n">
        <v>2</v>
      </c>
      <c r="D106" s="0" t="n">
        <v>0.9</v>
      </c>
      <c r="E106" s="0" t="n">
        <v>15</v>
      </c>
      <c r="F106" s="0" t="n">
        <v>0</v>
      </c>
      <c r="G106" s="0" t="n">
        <f aca="false">IF(C106="","",C106*D106*E106)</f>
        <v>27</v>
      </c>
      <c r="H106" s="0" t="n">
        <f aca="false">5944.7362/10</f>
        <v>594.47362</v>
      </c>
      <c r="I106" s="0" t="n">
        <f aca="false">H106+(E106/2)</f>
        <v>601.97362</v>
      </c>
      <c r="J106" s="0" t="n">
        <f aca="false">IF(C106="","",G106*I106)</f>
        <v>16253.28774</v>
      </c>
      <c r="K106" s="0" t="n">
        <f aca="false">IF(C106="","",G106*I106^2)</f>
        <v>9784050.45774942</v>
      </c>
      <c r="L106" s="0" t="n">
        <f aca="false">IF(C106="","",1/12*D106*E106^3*(COS(DEGREES(F106)))^2)</f>
        <v>253.125</v>
      </c>
      <c r="M106" s="0" t="n">
        <f aca="false">IF(C106="","",1/12*D106*E106^3*(SIN(DEGREES(F106)))^2)</f>
        <v>0</v>
      </c>
      <c r="N106" s="0" t="n">
        <f aca="false">IF(C106="","",L106+M106)</f>
        <v>253.125</v>
      </c>
    </row>
    <row r="107" customFormat="false" ht="14.25" hidden="false" customHeight="false" outlineLevel="0" collapsed="false">
      <c r="B107" s="2" t="s">
        <v>61</v>
      </c>
      <c r="C107" s="0" t="n">
        <v>2</v>
      </c>
      <c r="D107" s="0" t="n">
        <v>8.1</v>
      </c>
      <c r="E107" s="0" t="n">
        <v>0.9</v>
      </c>
      <c r="F107" s="0" t="n">
        <v>0</v>
      </c>
      <c r="G107" s="0" t="n">
        <f aca="false">IF(C107="","",C107*D107*E107)</f>
        <v>14.58</v>
      </c>
      <c r="H107" s="0" t="n">
        <f aca="false">5944.7362/10</f>
        <v>594.47362</v>
      </c>
      <c r="I107" s="0" t="n">
        <f aca="false">H107+(E107/2)</f>
        <v>594.92362</v>
      </c>
      <c r="J107" s="0" t="n">
        <f aca="false">IF(C107="","",G107*I107)</f>
        <v>8673.9863796</v>
      </c>
      <c r="K107" s="0" t="n">
        <f aca="false">IF(C107="","",G107*I107^2)</f>
        <v>5160359.37678233</v>
      </c>
      <c r="L107" s="0" t="n">
        <f aca="false">IF(C107="","",1/12*D107*E107^3*(COS(DEGREES(F107)))^2)</f>
        <v>0.492075</v>
      </c>
      <c r="M107" s="0" t="n">
        <f aca="false">IF(C107="","",1/12*D107*E107^3*(SIN(DEGREES(F107)))^2)</f>
        <v>0</v>
      </c>
      <c r="N107" s="0" t="n">
        <f aca="false">IF(C107="","",L107+M107)</f>
        <v>0.492075</v>
      </c>
    </row>
    <row r="108" customFormat="false" ht="14.25" hidden="false" customHeight="false" outlineLevel="0" collapsed="false">
      <c r="B108" s="0" t="s">
        <v>94</v>
      </c>
      <c r="G108" s="0" t="str">
        <f aca="false">IF(C108="","",C108*D108*E108)</f>
        <v/>
      </c>
      <c r="J108" s="0" t="str">
        <f aca="false">IF(C108="","",G108*I108)</f>
        <v/>
      </c>
      <c r="K108" s="0" t="str">
        <f aca="false">IF(C108="","",G108*I108^2)</f>
        <v/>
      </c>
      <c r="L108" s="0" t="str">
        <f aca="false">IF(C108="","",1/12*D108*E108^3*(COS(DEGREES(F108)))^2)</f>
        <v/>
      </c>
      <c r="M108" s="0" t="str">
        <f aca="false">IF(C108="","",1/12*D108*E108^3*(SIN(DEGREES(F108)))^2)</f>
        <v/>
      </c>
      <c r="N108" s="0" t="str">
        <f aca="false">IF(C108="","",L108+M108)</f>
        <v/>
      </c>
    </row>
    <row r="109" customFormat="false" ht="14.25" hidden="false" customHeight="false" outlineLevel="0" collapsed="false">
      <c r="B109" s="2" t="s">
        <v>60</v>
      </c>
      <c r="C109" s="0" t="n">
        <v>2</v>
      </c>
      <c r="D109" s="0" t="n">
        <v>0.9</v>
      </c>
      <c r="E109" s="0" t="n">
        <v>15</v>
      </c>
      <c r="F109" s="0" t="n">
        <v>0</v>
      </c>
      <c r="G109" s="0" t="n">
        <f aca="false">IF(C109="","",C109*D109*E109)</f>
        <v>27</v>
      </c>
      <c r="H109" s="0" t="n">
        <f aca="false">5944.7362/10</f>
        <v>594.47362</v>
      </c>
      <c r="I109" s="0" t="n">
        <f aca="false">H109+(E109/2)</f>
        <v>601.97362</v>
      </c>
      <c r="J109" s="0" t="n">
        <f aca="false">IF(C109="","",G109*I109)</f>
        <v>16253.28774</v>
      </c>
      <c r="K109" s="0" t="n">
        <f aca="false">IF(C109="","",G109*I109^2)</f>
        <v>9784050.45774942</v>
      </c>
      <c r="L109" s="0" t="n">
        <f aca="false">IF(C109="","",1/12*D109*E109^3*(COS(DEGREES(F109)))^2)</f>
        <v>253.125</v>
      </c>
      <c r="M109" s="0" t="n">
        <f aca="false">IF(C109="","",1/12*D109*E109^3*(SIN(DEGREES(F109)))^2)</f>
        <v>0</v>
      </c>
      <c r="N109" s="0" t="n">
        <f aca="false">IF(C109="","",L109+M109)</f>
        <v>253.125</v>
      </c>
    </row>
    <row r="110" customFormat="false" ht="14.25" hidden="false" customHeight="false" outlineLevel="0" collapsed="false">
      <c r="B110" s="2" t="s">
        <v>61</v>
      </c>
      <c r="C110" s="0" t="n">
        <v>2</v>
      </c>
      <c r="D110" s="0" t="n">
        <v>8.1</v>
      </c>
      <c r="E110" s="0" t="n">
        <v>0.9</v>
      </c>
      <c r="F110" s="0" t="n">
        <v>0</v>
      </c>
      <c r="G110" s="0" t="n">
        <f aca="false">IF(C110="","",C110*D110*E110)</f>
        <v>14.58</v>
      </c>
      <c r="H110" s="0" t="n">
        <f aca="false">5944.7362/10</f>
        <v>594.47362</v>
      </c>
      <c r="I110" s="0" t="n">
        <f aca="false">H110+(E110/2)</f>
        <v>594.92362</v>
      </c>
      <c r="J110" s="0" t="n">
        <f aca="false">IF(C110="","",G110*I110)</f>
        <v>8673.9863796</v>
      </c>
      <c r="K110" s="0" t="n">
        <f aca="false">IF(C110="","",G110*I110^2)</f>
        <v>5160359.37678233</v>
      </c>
      <c r="L110" s="0" t="n">
        <f aca="false">IF(C110="","",1/12*D110*E110^3*(COS(DEGREES(F110)))^2)</f>
        <v>0.492075</v>
      </c>
      <c r="M110" s="0" t="n">
        <f aca="false">IF(C110="","",1/12*D110*E110^3*(SIN(DEGREES(F110)))^2)</f>
        <v>0</v>
      </c>
      <c r="N110" s="0" t="n">
        <f aca="false">IF(C110="","",L110+M110)</f>
        <v>0.492075</v>
      </c>
    </row>
    <row r="111" customFormat="false" ht="14.25" hidden="false" customHeight="false" outlineLevel="0" collapsed="false">
      <c r="B111" s="0" t="s">
        <v>95</v>
      </c>
      <c r="G111" s="0" t="str">
        <f aca="false">IF(C111="","",C111*D111*E111)</f>
        <v/>
      </c>
      <c r="J111" s="0" t="str">
        <f aca="false">IF(C111="","",G111*I111)</f>
        <v/>
      </c>
      <c r="K111" s="0" t="str">
        <f aca="false">IF(C111="","",G111*I111^2)</f>
        <v/>
      </c>
      <c r="L111" s="0" t="str">
        <f aca="false">IF(C111="","",1/12*D111*E111^3*(COS(DEGREES(F111)))^2)</f>
        <v/>
      </c>
      <c r="M111" s="0" t="str">
        <f aca="false">IF(C111="","",1/12*D111*E111^3*(SIN(DEGREES(F111)))^2)</f>
        <v/>
      </c>
      <c r="N111" s="0" t="str">
        <f aca="false">IF(C111="","",L111+M111)</f>
        <v/>
      </c>
    </row>
    <row r="112" customFormat="false" ht="14.25" hidden="false" customHeight="false" outlineLevel="0" collapsed="false">
      <c r="B112" s="2" t="s">
        <v>60</v>
      </c>
      <c r="C112" s="0" t="n">
        <v>2</v>
      </c>
      <c r="D112" s="0" t="n">
        <v>0.9</v>
      </c>
      <c r="E112" s="0" t="n">
        <v>15</v>
      </c>
      <c r="F112" s="0" t="n">
        <v>0</v>
      </c>
      <c r="G112" s="0" t="n">
        <f aca="false">IF(C112="","",C112*D112*E112)</f>
        <v>27</v>
      </c>
      <c r="H112" s="0" t="n">
        <f aca="false">5944.7362/10</f>
        <v>594.47362</v>
      </c>
      <c r="I112" s="0" t="n">
        <f aca="false">H112+(E112/2)</f>
        <v>601.97362</v>
      </c>
      <c r="J112" s="0" t="n">
        <f aca="false">IF(C112="","",G112*I112)</f>
        <v>16253.28774</v>
      </c>
      <c r="K112" s="0" t="n">
        <f aca="false">IF(C112="","",G112*I112^2)</f>
        <v>9784050.45774942</v>
      </c>
      <c r="L112" s="0" t="n">
        <f aca="false">IF(C112="","",1/12*D112*E112^3*(COS(DEGREES(F112)))^2)</f>
        <v>253.125</v>
      </c>
      <c r="M112" s="0" t="n">
        <f aca="false">IF(C112="","",1/12*D112*E112^3*(SIN(DEGREES(F112)))^2)</f>
        <v>0</v>
      </c>
      <c r="N112" s="0" t="n">
        <f aca="false">IF(C112="","",L112+M112)</f>
        <v>253.125</v>
      </c>
    </row>
    <row r="113" customFormat="false" ht="14.25" hidden="false" customHeight="false" outlineLevel="0" collapsed="false">
      <c r="B113" s="2" t="s">
        <v>61</v>
      </c>
      <c r="C113" s="0" t="n">
        <v>2</v>
      </c>
      <c r="D113" s="0" t="n">
        <v>8.1</v>
      </c>
      <c r="E113" s="0" t="n">
        <v>0.9</v>
      </c>
      <c r="F113" s="0" t="n">
        <v>0</v>
      </c>
      <c r="G113" s="0" t="n">
        <f aca="false">IF(C113="","",C113*D113*E113)</f>
        <v>14.58</v>
      </c>
      <c r="H113" s="0" t="n">
        <f aca="false">5944.7362/10</f>
        <v>594.47362</v>
      </c>
      <c r="I113" s="0" t="n">
        <f aca="false">H113+(E113/2)</f>
        <v>594.92362</v>
      </c>
      <c r="J113" s="0" t="n">
        <f aca="false">IF(C113="","",G113*I113)</f>
        <v>8673.9863796</v>
      </c>
      <c r="K113" s="0" t="n">
        <f aca="false">IF(C113="","",G113*I113^2)</f>
        <v>5160359.37678233</v>
      </c>
      <c r="L113" s="0" t="n">
        <f aca="false">IF(C113="","",1/12*D113*E113^3*(COS(DEGREES(F113)))^2)</f>
        <v>0.492075</v>
      </c>
      <c r="M113" s="0" t="n">
        <f aca="false">IF(C113="","",1/12*D113*E113^3*(SIN(DEGREES(F113)))^2)</f>
        <v>0</v>
      </c>
      <c r="N113" s="0" t="n">
        <f aca="false">IF(C113="","",L113+M113)</f>
        <v>0.492075</v>
      </c>
    </row>
    <row r="114" customFormat="false" ht="14.25" hidden="false" customHeight="false" outlineLevel="0" collapsed="false">
      <c r="B114" s="0" t="s">
        <v>96</v>
      </c>
      <c r="G114" s="0" t="str">
        <f aca="false">IF(C114="","",C114*D114*E114)</f>
        <v/>
      </c>
      <c r="J114" s="0" t="str">
        <f aca="false">IF(C114="","",G114*I114)</f>
        <v/>
      </c>
      <c r="K114" s="0" t="str">
        <f aca="false">IF(C114="","",G114*I114^2)</f>
        <v/>
      </c>
      <c r="L114" s="0" t="str">
        <f aca="false">IF(C114="","",1/12*D114*E114^3*(COS(DEGREES(F114)))^2)</f>
        <v/>
      </c>
      <c r="M114" s="0" t="str">
        <f aca="false">IF(C114="","",1/12*D114*E114^3*(SIN(DEGREES(F114)))^2)</f>
        <v/>
      </c>
      <c r="N114" s="0" t="str">
        <f aca="false">IF(C114="","",L114+M114)</f>
        <v/>
      </c>
    </row>
    <row r="115" customFormat="false" ht="14.25" hidden="false" customHeight="false" outlineLevel="0" collapsed="false">
      <c r="B115" s="2" t="s">
        <v>60</v>
      </c>
      <c r="C115" s="0" t="n">
        <v>2</v>
      </c>
      <c r="D115" s="0" t="n">
        <v>0.9</v>
      </c>
      <c r="E115" s="0" t="n">
        <v>15</v>
      </c>
      <c r="F115" s="0" t="n">
        <v>0</v>
      </c>
      <c r="G115" s="0" t="n">
        <f aca="false">IF(C115="","",C115*D115*E115)</f>
        <v>27</v>
      </c>
      <c r="H115" s="0" t="n">
        <f aca="false">5944.7362/10</f>
        <v>594.47362</v>
      </c>
      <c r="I115" s="0" t="n">
        <f aca="false">H115+(E115/2)</f>
        <v>601.97362</v>
      </c>
      <c r="J115" s="0" t="n">
        <f aca="false">IF(C115="","",G115*I115)</f>
        <v>16253.28774</v>
      </c>
      <c r="K115" s="0" t="n">
        <f aca="false">IF(C115="","",G115*I115^2)</f>
        <v>9784050.45774942</v>
      </c>
      <c r="L115" s="0" t="n">
        <f aca="false">IF(C115="","",1/12*D115*E115^3*(COS(DEGREES(F115)))^2)</f>
        <v>253.125</v>
      </c>
      <c r="M115" s="0" t="n">
        <f aca="false">IF(C115="","",1/12*D115*E115^3*(SIN(DEGREES(F115)))^2)</f>
        <v>0</v>
      </c>
      <c r="N115" s="0" t="n">
        <f aca="false">IF(C115="","",L115+M115)</f>
        <v>253.125</v>
      </c>
    </row>
    <row r="116" customFormat="false" ht="14.25" hidden="false" customHeight="false" outlineLevel="0" collapsed="false">
      <c r="B116" s="2" t="s">
        <v>61</v>
      </c>
      <c r="C116" s="0" t="n">
        <v>2</v>
      </c>
      <c r="D116" s="0" t="n">
        <v>8.1</v>
      </c>
      <c r="E116" s="0" t="n">
        <v>0.9</v>
      </c>
      <c r="F116" s="0" t="n">
        <v>0</v>
      </c>
      <c r="G116" s="0" t="n">
        <f aca="false">IF(C116="","",C116*D116*E116)</f>
        <v>14.58</v>
      </c>
      <c r="H116" s="0" t="n">
        <f aca="false">5944.7362/10</f>
        <v>594.47362</v>
      </c>
      <c r="I116" s="0" t="n">
        <f aca="false">H116+(E116/2)</f>
        <v>594.92362</v>
      </c>
      <c r="J116" s="0" t="n">
        <f aca="false">IF(C116="","",G116*I116)</f>
        <v>8673.9863796</v>
      </c>
      <c r="K116" s="0" t="n">
        <f aca="false">IF(C116="","",G116*I116^2)</f>
        <v>5160359.37678233</v>
      </c>
      <c r="L116" s="0" t="n">
        <f aca="false">IF(C116="","",1/12*D116*E116^3*(COS(DEGREES(F116)))^2)</f>
        <v>0.492075</v>
      </c>
      <c r="M116" s="0" t="n">
        <f aca="false">IF(C116="","",1/12*D116*E116^3*(SIN(DEGREES(F116)))^2)</f>
        <v>0</v>
      </c>
      <c r="N116" s="0" t="n">
        <f aca="false">IF(C116="","",L116+M116)</f>
        <v>0.492075</v>
      </c>
    </row>
    <row r="117" customFormat="false" ht="14.25" hidden="false" customHeight="false" outlineLevel="0" collapsed="false">
      <c r="B117" s="0" t="s">
        <v>97</v>
      </c>
      <c r="G117" s="0" t="str">
        <f aca="false">IF(C117="","",C117*D117*E117)</f>
        <v/>
      </c>
      <c r="J117" s="0" t="str">
        <f aca="false">IF(C117="","",G117*I117)</f>
        <v/>
      </c>
      <c r="K117" s="0" t="str">
        <f aca="false">IF(C117="","",G117*I117^2)</f>
        <v/>
      </c>
      <c r="L117" s="0" t="str">
        <f aca="false">IF(C117="","",1/12*D117*E117^3*(COS(DEGREES(F117)))^2)</f>
        <v/>
      </c>
      <c r="M117" s="0" t="str">
        <f aca="false">IF(C117="","",1/12*D117*E117^3*(SIN(DEGREES(F117)))^2)</f>
        <v/>
      </c>
      <c r="N117" s="0" t="str">
        <f aca="false">IF(C117="","",L117+M117)</f>
        <v/>
      </c>
    </row>
    <row r="118" customFormat="false" ht="14.25" hidden="false" customHeight="false" outlineLevel="0" collapsed="false">
      <c r="B118" s="2" t="s">
        <v>60</v>
      </c>
      <c r="C118" s="0" t="n">
        <v>2</v>
      </c>
      <c r="D118" s="0" t="n">
        <v>0.9</v>
      </c>
      <c r="E118" s="0" t="n">
        <v>15</v>
      </c>
      <c r="F118" s="0" t="n">
        <v>0</v>
      </c>
      <c r="G118" s="0" t="n">
        <f aca="false">IF(C118="","",C118*D118*E118)</f>
        <v>27</v>
      </c>
      <c r="H118" s="0" t="n">
        <f aca="false">5944.7362/10</f>
        <v>594.47362</v>
      </c>
      <c r="I118" s="0" t="n">
        <f aca="false">H118+(E118/2)</f>
        <v>601.97362</v>
      </c>
      <c r="J118" s="0" t="n">
        <f aca="false">IF(C118="","",G118*I118)</f>
        <v>16253.28774</v>
      </c>
      <c r="K118" s="0" t="n">
        <f aca="false">IF(C118="","",G118*I118^2)</f>
        <v>9784050.45774942</v>
      </c>
      <c r="L118" s="0" t="n">
        <f aca="false">IF(C118="","",1/12*D118*E118^3*(COS(DEGREES(F118)))^2)</f>
        <v>253.125</v>
      </c>
      <c r="M118" s="0" t="n">
        <f aca="false">IF(C118="","",1/12*D118*E118^3*(SIN(DEGREES(F118)))^2)</f>
        <v>0</v>
      </c>
      <c r="N118" s="0" t="n">
        <f aca="false">IF(C118="","",L118+M118)</f>
        <v>253.125</v>
      </c>
    </row>
    <row r="119" customFormat="false" ht="14.25" hidden="false" customHeight="false" outlineLevel="0" collapsed="false">
      <c r="B119" s="2" t="s">
        <v>61</v>
      </c>
      <c r="C119" s="0" t="n">
        <v>2</v>
      </c>
      <c r="D119" s="0" t="n">
        <v>8.1</v>
      </c>
      <c r="E119" s="0" t="n">
        <v>0.9</v>
      </c>
      <c r="F119" s="0" t="n">
        <v>0</v>
      </c>
      <c r="G119" s="0" t="n">
        <f aca="false">IF(C119="","",C119*D119*E119)</f>
        <v>14.58</v>
      </c>
      <c r="H119" s="0" t="n">
        <f aca="false">5944.7362/10</f>
        <v>594.47362</v>
      </c>
      <c r="I119" s="0" t="n">
        <f aca="false">H119+(E119/2)</f>
        <v>594.92362</v>
      </c>
      <c r="J119" s="0" t="n">
        <f aca="false">IF(C119="","",G119*I119)</f>
        <v>8673.9863796</v>
      </c>
      <c r="K119" s="0" t="n">
        <f aca="false">IF(C119="","",G119*I119^2)</f>
        <v>5160359.37678233</v>
      </c>
      <c r="L119" s="0" t="n">
        <f aca="false">IF(C119="","",1/12*D119*E119^3*(COS(DEGREES(F119)))^2)</f>
        <v>0.492075</v>
      </c>
      <c r="M119" s="0" t="n">
        <f aca="false">IF(C119="","",1/12*D119*E119^3*(SIN(DEGREES(F119)))^2)</f>
        <v>0</v>
      </c>
      <c r="N119" s="0" t="n">
        <f aca="false">IF(C119="","",L119+M119)</f>
        <v>0.492075</v>
      </c>
    </row>
    <row r="120" customFormat="false" ht="14.25" hidden="false" customHeight="false" outlineLevel="0" collapsed="false">
      <c r="B120" s="0" t="s">
        <v>98</v>
      </c>
      <c r="G120" s="0" t="str">
        <f aca="false">IF(C120="","",C120*D120*E120)</f>
        <v/>
      </c>
      <c r="J120" s="0" t="str">
        <f aca="false">IF(C120="","",G120*I120)</f>
        <v/>
      </c>
      <c r="K120" s="0" t="str">
        <f aca="false">IF(C120="","",G120*I120^2)</f>
        <v/>
      </c>
      <c r="L120" s="0" t="str">
        <f aca="false">IF(C120="","",1/12*D120*E120^3*(COS(DEGREES(F120)))^2)</f>
        <v/>
      </c>
      <c r="M120" s="0" t="str">
        <f aca="false">IF(C120="","",1/12*D120*E120^3*(SIN(DEGREES(F120)))^2)</f>
        <v/>
      </c>
      <c r="N120" s="0" t="str">
        <f aca="false">IF(C120="","",L120+M120)</f>
        <v/>
      </c>
    </row>
    <row r="121" customFormat="false" ht="14.25" hidden="false" customHeight="false" outlineLevel="0" collapsed="false">
      <c r="B121" s="2" t="s">
        <v>60</v>
      </c>
      <c r="C121" s="0" t="n">
        <v>2</v>
      </c>
      <c r="D121" s="0" t="n">
        <v>0.9</v>
      </c>
      <c r="E121" s="0" t="n">
        <v>15</v>
      </c>
      <c r="F121" s="0" t="n">
        <v>0</v>
      </c>
      <c r="G121" s="0" t="n">
        <f aca="false">IF(C121="","",C121*D121*E121)</f>
        <v>27</v>
      </c>
      <c r="H121" s="0" t="n">
        <f aca="false">5944.7362/10</f>
        <v>594.47362</v>
      </c>
      <c r="I121" s="0" t="n">
        <f aca="false">H121+(E121/2)</f>
        <v>601.97362</v>
      </c>
      <c r="J121" s="0" t="n">
        <f aca="false">IF(C121="","",G121*I121)</f>
        <v>16253.28774</v>
      </c>
      <c r="K121" s="0" t="n">
        <f aca="false">IF(C121="","",G121*I121^2)</f>
        <v>9784050.45774942</v>
      </c>
      <c r="L121" s="0" t="n">
        <f aca="false">IF(C121="","",1/12*D121*E121^3*(COS(DEGREES(F121)))^2)</f>
        <v>253.125</v>
      </c>
      <c r="M121" s="0" t="n">
        <f aca="false">IF(C121="","",1/12*D121*E121^3*(SIN(DEGREES(F121)))^2)</f>
        <v>0</v>
      </c>
      <c r="N121" s="0" t="n">
        <f aca="false">IF(C121="","",L121+M121)</f>
        <v>253.125</v>
      </c>
    </row>
    <row r="122" customFormat="false" ht="14.25" hidden="false" customHeight="false" outlineLevel="0" collapsed="false">
      <c r="B122" s="2" t="s">
        <v>61</v>
      </c>
      <c r="C122" s="0" t="n">
        <v>2</v>
      </c>
      <c r="D122" s="0" t="n">
        <v>8.1</v>
      </c>
      <c r="E122" s="0" t="n">
        <v>0.9</v>
      </c>
      <c r="F122" s="0" t="n">
        <v>0</v>
      </c>
      <c r="G122" s="0" t="n">
        <f aca="false">IF(C122="","",C122*D122*E122)</f>
        <v>14.58</v>
      </c>
      <c r="H122" s="0" t="n">
        <f aca="false">5944.7362/10</f>
        <v>594.47362</v>
      </c>
      <c r="I122" s="0" t="n">
        <f aca="false">H122+(E122/2)</f>
        <v>594.92362</v>
      </c>
      <c r="J122" s="0" t="n">
        <f aca="false">IF(C122="","",G122*I122)</f>
        <v>8673.9863796</v>
      </c>
      <c r="K122" s="0" t="n">
        <f aca="false">IF(C122="","",G122*I122^2)</f>
        <v>5160359.37678233</v>
      </c>
      <c r="L122" s="0" t="n">
        <f aca="false">IF(C122="","",1/12*D122*E122^3*(COS(DEGREES(F122)))^2)</f>
        <v>0.492075</v>
      </c>
      <c r="M122" s="0" t="n">
        <f aca="false">IF(C122="","",1/12*D122*E122^3*(SIN(DEGREES(F122)))^2)</f>
        <v>0</v>
      </c>
      <c r="N122" s="0" t="n">
        <f aca="false">IF(C122="","",L122+M122)</f>
        <v>0.492075</v>
      </c>
    </row>
    <row r="123" customFormat="false" ht="14.25" hidden="false" customHeight="false" outlineLevel="0" collapsed="false">
      <c r="B123" s="0" t="s">
        <v>99</v>
      </c>
      <c r="G123" s="0" t="str">
        <f aca="false">IF(C123="","",C123*D123*E123)</f>
        <v/>
      </c>
      <c r="J123" s="0" t="str">
        <f aca="false">IF(C123="","",G123*I123)</f>
        <v/>
      </c>
      <c r="K123" s="0" t="str">
        <f aca="false">IF(C123="","",G123*I123^2)</f>
        <v/>
      </c>
      <c r="L123" s="0" t="str">
        <f aca="false">IF(C123="","",1/12*D123*E123^3*(COS(DEGREES(F123)))^2)</f>
        <v/>
      </c>
      <c r="M123" s="0" t="str">
        <f aca="false">IF(C123="","",1/12*D123*E123^3*(SIN(DEGREES(F123)))^2)</f>
        <v/>
      </c>
      <c r="N123" s="0" t="str">
        <f aca="false">IF(C123="","",L123+M123)</f>
        <v/>
      </c>
    </row>
    <row r="124" customFormat="false" ht="14.25" hidden="false" customHeight="false" outlineLevel="0" collapsed="false">
      <c r="B124" s="2" t="s">
        <v>60</v>
      </c>
      <c r="C124" s="0" t="n">
        <v>2</v>
      </c>
      <c r="D124" s="0" t="n">
        <v>0.9</v>
      </c>
      <c r="E124" s="0" t="n">
        <v>15</v>
      </c>
      <c r="F124" s="0" t="n">
        <v>0</v>
      </c>
      <c r="G124" s="0" t="n">
        <f aca="false">IF(C124="","",C124*D124*E124)</f>
        <v>27</v>
      </c>
      <c r="H124" s="0" t="n">
        <f aca="false">5944.7362/10</f>
        <v>594.47362</v>
      </c>
      <c r="I124" s="0" t="n">
        <f aca="false">H124+(E124/2)</f>
        <v>601.97362</v>
      </c>
      <c r="J124" s="0" t="n">
        <f aca="false">IF(C124="","",G124*I124)</f>
        <v>16253.28774</v>
      </c>
      <c r="K124" s="0" t="n">
        <f aca="false">IF(C124="","",G124*I124^2)</f>
        <v>9784050.45774942</v>
      </c>
      <c r="L124" s="0" t="n">
        <f aca="false">IF(C124="","",1/12*D124*E124^3*(COS(DEGREES(F124)))^2)</f>
        <v>253.125</v>
      </c>
      <c r="M124" s="0" t="n">
        <f aca="false">IF(C124="","",1/12*D124*E124^3*(SIN(DEGREES(F124)))^2)</f>
        <v>0</v>
      </c>
      <c r="N124" s="0" t="n">
        <f aca="false">IF(C124="","",L124+M124)</f>
        <v>253.125</v>
      </c>
    </row>
    <row r="125" customFormat="false" ht="14.25" hidden="false" customHeight="false" outlineLevel="0" collapsed="false">
      <c r="B125" s="2" t="s">
        <v>61</v>
      </c>
      <c r="C125" s="0" t="n">
        <v>2</v>
      </c>
      <c r="D125" s="0" t="n">
        <v>8.1</v>
      </c>
      <c r="E125" s="0" t="n">
        <v>0.9</v>
      </c>
      <c r="F125" s="0" t="n">
        <v>0</v>
      </c>
      <c r="G125" s="0" t="n">
        <f aca="false">IF(C125="","",C125*D125*E125)</f>
        <v>14.58</v>
      </c>
      <c r="H125" s="0" t="n">
        <f aca="false">5944.7362/10</f>
        <v>594.47362</v>
      </c>
      <c r="I125" s="0" t="n">
        <f aca="false">H125+(E125/2)</f>
        <v>594.92362</v>
      </c>
      <c r="J125" s="0" t="n">
        <f aca="false">IF(C125="","",G125*I125)</f>
        <v>8673.9863796</v>
      </c>
      <c r="K125" s="0" t="n">
        <f aca="false">IF(C125="","",G125*I125^2)</f>
        <v>5160359.37678233</v>
      </c>
      <c r="L125" s="0" t="n">
        <f aca="false">IF(C125="","",1/12*D125*E125^3*(COS(DEGREES(F125)))^2)</f>
        <v>0.492075</v>
      </c>
      <c r="M125" s="0" t="n">
        <f aca="false">IF(C125="","",1/12*D125*E125^3*(SIN(DEGREES(F125)))^2)</f>
        <v>0</v>
      </c>
      <c r="N125" s="0" t="n">
        <f aca="false">IF(C125="","",L125+M125)</f>
        <v>0.492075</v>
      </c>
    </row>
    <row r="126" s="24" customFormat="true" ht="14.25" hidden="false" customHeight="false" outlineLevel="0" collapsed="false">
      <c r="A126" s="24" t="n">
        <v>61</v>
      </c>
      <c r="G126" s="24" t="str">
        <f aca="false">IF(C126="","",C126*D126*E126)</f>
        <v/>
      </c>
      <c r="J126" s="24" t="str">
        <f aca="false">IF(C126="","",G126*I126)</f>
        <v/>
      </c>
      <c r="K126" s="24" t="str">
        <f aca="false">IF(C126="","",G126*I126^2)</f>
        <v/>
      </c>
      <c r="L126" s="24" t="str">
        <f aca="false">IF(C126="","",1/12*D126*E126^3*(COS(DEGREES(F126)))^2)</f>
        <v/>
      </c>
      <c r="M126" s="24" t="str">
        <f aca="false">IF(C126="","",1/12*D126*E126^3*(SIN(DEGREES(F126)))^2)</f>
        <v/>
      </c>
      <c r="N126" s="24" t="str">
        <f aca="false">IF(C126="","",L126+M126)</f>
        <v/>
      </c>
    </row>
    <row r="127" customFormat="false" ht="14.25" hidden="false" customHeight="false" outlineLevel="0" collapsed="false">
      <c r="A127" s="0" t="n">
        <v>0.9</v>
      </c>
      <c r="B127" s="0" t="s">
        <v>100</v>
      </c>
      <c r="G127" s="0" t="str">
        <f aca="false">IF(C127="","",C127*D127*E127)</f>
        <v/>
      </c>
      <c r="J127" s="0" t="str">
        <f aca="false">IF(C127="","",G127*I127)</f>
        <v/>
      </c>
      <c r="K127" s="0" t="str">
        <f aca="false">IF(C127="","",G127*I127^2)</f>
        <v/>
      </c>
      <c r="L127" s="0" t="str">
        <f aca="false">IF(C127="","",1/12*D127*E127^3*(COS(DEGREES(F127)))^2)</f>
        <v/>
      </c>
      <c r="M127" s="0" t="str">
        <f aca="false">IF(C127="","",1/12*D127*E127^3*(SIN(DEGREES(F127)))^2)</f>
        <v/>
      </c>
      <c r="N127" s="0" t="str">
        <f aca="false">IF(C127="","",L127+M127)</f>
        <v/>
      </c>
    </row>
    <row r="128" customFormat="false" ht="14.25" hidden="false" customHeight="false" outlineLevel="0" collapsed="false">
      <c r="B128" s="2" t="s">
        <v>60</v>
      </c>
      <c r="C128" s="0" t="n">
        <v>2</v>
      </c>
      <c r="D128" s="0" t="n">
        <v>15</v>
      </c>
      <c r="E128" s="0" t="n">
        <v>0.9</v>
      </c>
      <c r="F128" s="0" t="n">
        <v>0</v>
      </c>
      <c r="G128" s="0" t="n">
        <f aca="false">IF(C128="","",C128*D128*E128)</f>
        <v>27</v>
      </c>
      <c r="H128" s="0" t="n">
        <f aca="false">134-E128</f>
        <v>133.1</v>
      </c>
      <c r="I128" s="0" t="n">
        <f aca="false">H128+(E128/2)</f>
        <v>133.55</v>
      </c>
      <c r="J128" s="0" t="n">
        <f aca="false">IF(C128="","",G128*I128)</f>
        <v>3605.85</v>
      </c>
      <c r="K128" s="0" t="n">
        <f aca="false">IF(C128="","",G128*I128^2)</f>
        <v>481561.2675</v>
      </c>
      <c r="L128" s="0" t="n">
        <f aca="false">IF(C128="","",1/12*D128*E128^3*(COS(DEGREES(F128)))^2)</f>
        <v>0.91125</v>
      </c>
      <c r="M128" s="0" t="n">
        <f aca="false">IF(C128="","",1/12*D128*E128^3*(SIN(DEGREES(F128)))^2)</f>
        <v>0</v>
      </c>
      <c r="N128" s="0" t="n">
        <f aca="false">IF(C128="","",L128+M128)</f>
        <v>0.91125</v>
      </c>
    </row>
    <row r="129" customFormat="false" ht="14.25" hidden="false" customHeight="false" outlineLevel="0" collapsed="false">
      <c r="B129" s="2" t="s">
        <v>61</v>
      </c>
      <c r="C129" s="0" t="n">
        <v>2</v>
      </c>
      <c r="D129" s="0" t="n">
        <v>0.9</v>
      </c>
      <c r="E129" s="0" t="n">
        <v>8.1</v>
      </c>
      <c r="F129" s="0" t="n">
        <v>0</v>
      </c>
      <c r="G129" s="0" t="n">
        <f aca="false">IF(C129="","",C129*D129*E129)</f>
        <v>14.58</v>
      </c>
      <c r="H129" s="0" t="n">
        <f aca="false">H128-E129</f>
        <v>125</v>
      </c>
      <c r="I129" s="0" t="n">
        <f aca="false">H129+(E129/2)</f>
        <v>129.05</v>
      </c>
      <c r="J129" s="0" t="n">
        <f aca="false">IF(C129="","",G129*I129)</f>
        <v>1881.549</v>
      </c>
      <c r="K129" s="0" t="n">
        <f aca="false">IF(C129="","",G129*I129^2)</f>
        <v>242813.89845</v>
      </c>
      <c r="L129" s="0" t="n">
        <f aca="false">IF(C129="","",1/12*D129*E129^3*(COS(DEGREES(F129)))^2)</f>
        <v>39.858075</v>
      </c>
      <c r="M129" s="0" t="n">
        <f aca="false">IF(C129="","",1/12*D129*E129^3*(SIN(DEGREES(F129)))^2)</f>
        <v>0</v>
      </c>
      <c r="N129" s="0" t="n">
        <f aca="false">IF(C129="","",L129+M129)</f>
        <v>39.858075</v>
      </c>
    </row>
    <row r="130" customFormat="false" ht="14.25" hidden="false" customHeight="false" outlineLevel="0" collapsed="false">
      <c r="B130" s="0" t="s">
        <v>101</v>
      </c>
      <c r="G130" s="0" t="str">
        <f aca="false">IF(C130="","",C130*D130*E130)</f>
        <v/>
      </c>
      <c r="J130" s="0" t="str">
        <f aca="false">IF(C130="","",G130*I130)</f>
        <v/>
      </c>
      <c r="K130" s="0" t="str">
        <f aca="false">IF(C130="","",G130*I130^2)</f>
        <v/>
      </c>
      <c r="L130" s="0" t="str">
        <f aca="false">IF(C130="","",1/12*D130*E130^3*(COS(DEGREES(F130)))^2)</f>
        <v/>
      </c>
      <c r="M130" s="0" t="str">
        <f aca="false">IF(C130="","",1/12*D130*E130^3*(SIN(DEGREES(F130)))^2)</f>
        <v/>
      </c>
      <c r="N130" s="0" t="str">
        <f aca="false">IF(C130="","",L130+M130)</f>
        <v/>
      </c>
    </row>
    <row r="131" customFormat="false" ht="14.25" hidden="false" customHeight="false" outlineLevel="0" collapsed="false">
      <c r="B131" s="2" t="s">
        <v>60</v>
      </c>
      <c r="C131" s="0" t="n">
        <v>2</v>
      </c>
      <c r="D131" s="0" t="n">
        <v>15</v>
      </c>
      <c r="E131" s="0" t="n">
        <v>0.9</v>
      </c>
      <c r="F131" s="0" t="n">
        <v>0</v>
      </c>
      <c r="G131" s="0" t="n">
        <f aca="false">IF(C131="","",C131*D131*E131)</f>
        <v>27</v>
      </c>
      <c r="H131" s="0" t="n">
        <f aca="false">H128+49</f>
        <v>182.1</v>
      </c>
      <c r="I131" s="0" t="n">
        <f aca="false">H131+(E131/2)</f>
        <v>182.55</v>
      </c>
      <c r="J131" s="0" t="n">
        <f aca="false">IF(C131="","",G131*I131)</f>
        <v>4928.85</v>
      </c>
      <c r="K131" s="0" t="n">
        <f aca="false">IF(C131="","",G131*I131^2)</f>
        <v>899761.5675</v>
      </c>
      <c r="L131" s="0" t="n">
        <f aca="false">IF(C131="","",1/12*D131*E131^3*(COS(DEGREES(F131)))^2)</f>
        <v>0.91125</v>
      </c>
      <c r="M131" s="0" t="n">
        <f aca="false">IF(C131="","",1/12*D131*E131^3*(SIN(DEGREES(F131)))^2)</f>
        <v>0</v>
      </c>
      <c r="N131" s="0" t="n">
        <f aca="false">IF(C131="","",L131+M131)</f>
        <v>0.91125</v>
      </c>
    </row>
    <row r="132" customFormat="false" ht="14.25" hidden="false" customHeight="false" outlineLevel="0" collapsed="false">
      <c r="B132" s="2" t="s">
        <v>61</v>
      </c>
      <c r="C132" s="0" t="n">
        <v>2</v>
      </c>
      <c r="D132" s="0" t="n">
        <v>0.9</v>
      </c>
      <c r="E132" s="0" t="n">
        <v>8.1</v>
      </c>
      <c r="F132" s="0" t="n">
        <v>0</v>
      </c>
      <c r="G132" s="0" t="n">
        <f aca="false">IF(C132="","",C132*D132*E132)</f>
        <v>14.58</v>
      </c>
      <c r="H132" s="0" t="n">
        <f aca="false">H129+49</f>
        <v>174</v>
      </c>
      <c r="I132" s="0" t="n">
        <f aca="false">H132+(E132/2)</f>
        <v>178.05</v>
      </c>
      <c r="J132" s="0" t="n">
        <f aca="false">IF(C132="","",G132*I132)</f>
        <v>2595.969</v>
      </c>
      <c r="K132" s="0" t="n">
        <f aca="false">IF(C132="","",G132*I132^2)</f>
        <v>462212.28045</v>
      </c>
      <c r="L132" s="0" t="n">
        <f aca="false">IF(C132="","",1/12*D132*E132^3*(COS(DEGREES(F132)))^2)</f>
        <v>39.858075</v>
      </c>
      <c r="M132" s="0" t="n">
        <f aca="false">IF(C132="","",1/12*D132*E132^3*(SIN(DEGREES(F132)))^2)</f>
        <v>0</v>
      </c>
      <c r="N132" s="0" t="n">
        <f aca="false">IF(C132="","",L132+M132)</f>
        <v>39.858075</v>
      </c>
    </row>
    <row r="133" customFormat="false" ht="14.25" hidden="false" customHeight="false" outlineLevel="0" collapsed="false">
      <c r="B133" s="0" t="s">
        <v>102</v>
      </c>
      <c r="G133" s="0" t="str">
        <f aca="false">IF(C133="","",C133*D133*E133)</f>
        <v/>
      </c>
      <c r="J133" s="0" t="str">
        <f aca="false">IF(C133="","",G133*I133)</f>
        <v/>
      </c>
      <c r="K133" s="0" t="str">
        <f aca="false">IF(C133="","",G133*I133^2)</f>
        <v/>
      </c>
      <c r="L133" s="0" t="str">
        <f aca="false">IF(C133="","",1/12*D133*E133^3*(COS(DEGREES(F133)))^2)</f>
        <v/>
      </c>
      <c r="M133" s="0" t="str">
        <f aca="false">IF(C133="","",1/12*D133*E133^3*(SIN(DEGREES(F133)))^2)</f>
        <v/>
      </c>
      <c r="N133" s="0" t="str">
        <f aca="false">IF(C133="","",L133+M133)</f>
        <v/>
      </c>
    </row>
    <row r="134" customFormat="false" ht="14.25" hidden="false" customHeight="false" outlineLevel="0" collapsed="false">
      <c r="B134" s="2" t="s">
        <v>60</v>
      </c>
      <c r="C134" s="0" t="n">
        <v>2</v>
      </c>
      <c r="D134" s="0" t="n">
        <v>15</v>
      </c>
      <c r="E134" s="0" t="n">
        <v>0.9</v>
      </c>
      <c r="F134" s="0" t="n">
        <v>0</v>
      </c>
      <c r="G134" s="0" t="n">
        <f aca="false">IF(C134="","",C134*D134*E134)</f>
        <v>27</v>
      </c>
      <c r="H134" s="0" t="n">
        <f aca="false">H131+$A$126</f>
        <v>243.1</v>
      </c>
      <c r="I134" s="0" t="n">
        <f aca="false">H134+(E134/2)</f>
        <v>243.55</v>
      </c>
      <c r="J134" s="0" t="n">
        <f aca="false">IF(C134="","",G134*I134)</f>
        <v>6575.85</v>
      </c>
      <c r="K134" s="0" t="n">
        <f aca="false">IF(C134="","",G134*I134^2)</f>
        <v>1601548.2675</v>
      </c>
      <c r="L134" s="0" t="n">
        <f aca="false">IF(C134="","",1/12*D134*E134^3*(COS(DEGREES(F134)))^2)</f>
        <v>0.91125</v>
      </c>
      <c r="M134" s="0" t="n">
        <f aca="false">IF(C134="","",1/12*D134*E134^3*(SIN(DEGREES(F134)))^2)</f>
        <v>0</v>
      </c>
      <c r="N134" s="0" t="n">
        <f aca="false">IF(C134="","",L134+M134)</f>
        <v>0.91125</v>
      </c>
    </row>
    <row r="135" customFormat="false" ht="14.25" hidden="false" customHeight="false" outlineLevel="0" collapsed="false">
      <c r="B135" s="2" t="s">
        <v>61</v>
      </c>
      <c r="C135" s="0" t="n">
        <v>2</v>
      </c>
      <c r="D135" s="0" t="n">
        <v>0.9</v>
      </c>
      <c r="E135" s="0" t="n">
        <v>8.1</v>
      </c>
      <c r="F135" s="0" t="n">
        <v>0</v>
      </c>
      <c r="G135" s="0" t="n">
        <f aca="false">IF(C135="","",C135*D135*E135)</f>
        <v>14.58</v>
      </c>
      <c r="H135" s="0" t="n">
        <f aca="false">H132+$A$126</f>
        <v>235</v>
      </c>
      <c r="I135" s="0" t="n">
        <f aca="false">H135+(E135/2)</f>
        <v>239.05</v>
      </c>
      <c r="J135" s="0" t="n">
        <f aca="false">IF(C135="","",G135*I135)</f>
        <v>3485.349</v>
      </c>
      <c r="K135" s="0" t="n">
        <f aca="false">IF(C135="","",G135*I135^2)</f>
        <v>833172.67845</v>
      </c>
      <c r="L135" s="0" t="n">
        <f aca="false">IF(C135="","",1/12*D135*E135^3*(COS(DEGREES(F135)))^2)</f>
        <v>39.858075</v>
      </c>
      <c r="M135" s="0" t="n">
        <f aca="false">IF(C135="","",1/12*D135*E135^3*(SIN(DEGREES(F135)))^2)</f>
        <v>0</v>
      </c>
      <c r="N135" s="0" t="n">
        <f aca="false">IF(C135="","",L135+M135)</f>
        <v>39.858075</v>
      </c>
    </row>
    <row r="136" customFormat="false" ht="14.25" hidden="false" customHeight="false" outlineLevel="0" collapsed="false">
      <c r="B136" s="0" t="s">
        <v>103</v>
      </c>
      <c r="G136" s="0" t="str">
        <f aca="false">IF(C136="","",C136*D136*E136)</f>
        <v/>
      </c>
      <c r="J136" s="0" t="str">
        <f aca="false">IF(C136="","",G136*I136)</f>
        <v/>
      </c>
      <c r="K136" s="0" t="str">
        <f aca="false">IF(C136="","",G136*I136^2)</f>
        <v/>
      </c>
      <c r="L136" s="0" t="str">
        <f aca="false">IF(C136="","",1/12*D136*E136^3*(COS(DEGREES(F136)))^2)</f>
        <v/>
      </c>
      <c r="M136" s="0" t="str">
        <f aca="false">IF(C136="","",1/12*D136*E136^3*(SIN(DEGREES(F136)))^2)</f>
        <v/>
      </c>
      <c r="N136" s="0" t="str">
        <f aca="false">IF(C136="","",L136+M136)</f>
        <v/>
      </c>
    </row>
    <row r="137" customFormat="false" ht="14.25" hidden="false" customHeight="false" outlineLevel="0" collapsed="false">
      <c r="B137" s="2" t="s">
        <v>60</v>
      </c>
      <c r="C137" s="0" t="n">
        <v>2</v>
      </c>
      <c r="D137" s="0" t="n">
        <v>15</v>
      </c>
      <c r="E137" s="0" t="n">
        <v>0.9</v>
      </c>
      <c r="F137" s="0" t="n">
        <v>0</v>
      </c>
      <c r="G137" s="0" t="n">
        <f aca="false">IF(C137="","",C137*D137*E137)</f>
        <v>27</v>
      </c>
      <c r="H137" s="0" t="n">
        <f aca="false">H134+$A$126</f>
        <v>304.1</v>
      </c>
      <c r="I137" s="0" t="n">
        <f aca="false">H137+(E137/2)</f>
        <v>304.55</v>
      </c>
      <c r="J137" s="0" t="n">
        <f aca="false">IF(C137="","",G137*I137)</f>
        <v>8222.85</v>
      </c>
      <c r="K137" s="0" t="n">
        <f aca="false">IF(C137="","",G137*I137^2)</f>
        <v>2504268.9675</v>
      </c>
      <c r="L137" s="0" t="n">
        <f aca="false">IF(C137="","",1/12*D137*E137^3*(COS(DEGREES(F137)))^2)</f>
        <v>0.91125</v>
      </c>
      <c r="M137" s="0" t="n">
        <f aca="false">IF(C137="","",1/12*D137*E137^3*(SIN(DEGREES(F137)))^2)</f>
        <v>0</v>
      </c>
      <c r="N137" s="0" t="n">
        <f aca="false">IF(C137="","",L137+M137)</f>
        <v>0.91125</v>
      </c>
    </row>
    <row r="138" customFormat="false" ht="14.25" hidden="false" customHeight="false" outlineLevel="0" collapsed="false">
      <c r="B138" s="2" t="s">
        <v>61</v>
      </c>
      <c r="C138" s="0" t="n">
        <v>2</v>
      </c>
      <c r="D138" s="0" t="n">
        <v>0.9</v>
      </c>
      <c r="E138" s="0" t="n">
        <v>8.1</v>
      </c>
      <c r="F138" s="0" t="n">
        <v>0</v>
      </c>
      <c r="G138" s="0" t="n">
        <f aca="false">IF(C138="","",C138*D138*E138)</f>
        <v>14.58</v>
      </c>
      <c r="H138" s="0" t="n">
        <f aca="false">H135+$A$126</f>
        <v>296</v>
      </c>
      <c r="I138" s="0" t="n">
        <f aca="false">H138+(E138/2)</f>
        <v>300.05</v>
      </c>
      <c r="J138" s="0" t="n">
        <f aca="false">IF(C138="","",G138*I138)</f>
        <v>4374.729</v>
      </c>
      <c r="K138" s="0" t="n">
        <f aca="false">IF(C138="","",G138*I138^2)</f>
        <v>1312637.43645</v>
      </c>
      <c r="L138" s="0" t="n">
        <f aca="false">IF(C138="","",1/12*D138*E138^3*(COS(DEGREES(F138)))^2)</f>
        <v>39.858075</v>
      </c>
      <c r="M138" s="0" t="n">
        <f aca="false">IF(C138="","",1/12*D138*E138^3*(SIN(DEGREES(F138)))^2)</f>
        <v>0</v>
      </c>
      <c r="N138" s="0" t="n">
        <f aca="false">IF(C138="","",L138+M138)</f>
        <v>39.858075</v>
      </c>
    </row>
    <row r="139" customFormat="false" ht="14.25" hidden="false" customHeight="false" outlineLevel="0" collapsed="false">
      <c r="B139" s="0" t="s">
        <v>104</v>
      </c>
      <c r="G139" s="0" t="str">
        <f aca="false">IF(C139="","",C139*D139*E139)</f>
        <v/>
      </c>
      <c r="J139" s="0" t="str">
        <f aca="false">IF(C139="","",G139*I139)</f>
        <v/>
      </c>
      <c r="K139" s="0" t="str">
        <f aca="false">IF(C139="","",G139*I139^2)</f>
        <v/>
      </c>
      <c r="L139" s="0" t="str">
        <f aca="false">IF(C139="","",1/12*D139*E139^3*(COS(DEGREES(F139)))^2)</f>
        <v/>
      </c>
      <c r="M139" s="0" t="str">
        <f aca="false">IF(C139="","",1/12*D139*E139^3*(SIN(DEGREES(F139)))^2)</f>
        <v/>
      </c>
      <c r="N139" s="0" t="str">
        <f aca="false">IF(C139="","",L139+M139)</f>
        <v/>
      </c>
    </row>
    <row r="140" customFormat="false" ht="14.25" hidden="false" customHeight="false" outlineLevel="0" collapsed="false">
      <c r="B140" s="2" t="s">
        <v>60</v>
      </c>
      <c r="C140" s="0" t="n">
        <v>2</v>
      </c>
      <c r="D140" s="0" t="n">
        <v>15</v>
      </c>
      <c r="E140" s="0" t="n">
        <v>0.9</v>
      </c>
      <c r="F140" s="0" t="n">
        <v>0</v>
      </c>
      <c r="G140" s="0" t="n">
        <f aca="false">IF(C140="","",C140*D140*E140)</f>
        <v>27</v>
      </c>
      <c r="H140" s="0" t="n">
        <f aca="false">H137+$A$126</f>
        <v>365.1</v>
      </c>
      <c r="I140" s="0" t="n">
        <f aca="false">H140+(E140/2)</f>
        <v>365.55</v>
      </c>
      <c r="J140" s="0" t="n">
        <f aca="false">IF(C140="","",G140*I140)</f>
        <v>9869.85</v>
      </c>
      <c r="K140" s="0" t="n">
        <f aca="false">IF(C140="","",G140*I140^2)</f>
        <v>3607923.6675</v>
      </c>
      <c r="L140" s="0" t="n">
        <f aca="false">IF(C140="","",1/12*D140*E140^3*(COS(DEGREES(F140)))^2)</f>
        <v>0.91125</v>
      </c>
      <c r="M140" s="0" t="n">
        <f aca="false">IF(C140="","",1/12*D140*E140^3*(SIN(DEGREES(F140)))^2)</f>
        <v>0</v>
      </c>
      <c r="N140" s="0" t="n">
        <f aca="false">IF(C140="","",L140+M140)</f>
        <v>0.91125</v>
      </c>
    </row>
    <row r="141" customFormat="false" ht="14.25" hidden="false" customHeight="false" outlineLevel="0" collapsed="false">
      <c r="B141" s="2" t="s">
        <v>61</v>
      </c>
      <c r="C141" s="0" t="n">
        <v>2</v>
      </c>
      <c r="D141" s="0" t="n">
        <v>0.9</v>
      </c>
      <c r="E141" s="0" t="n">
        <v>8.1</v>
      </c>
      <c r="F141" s="0" t="n">
        <v>0</v>
      </c>
      <c r="G141" s="0" t="n">
        <f aca="false">IF(C141="","",C141*D141*E141)</f>
        <v>14.58</v>
      </c>
      <c r="H141" s="0" t="n">
        <f aca="false">H138+$A$126</f>
        <v>357</v>
      </c>
      <c r="I141" s="0" t="n">
        <f aca="false">H141+(E141/2)</f>
        <v>361.05</v>
      </c>
      <c r="J141" s="0" t="n">
        <f aca="false">IF(C141="","",G141*I141)</f>
        <v>5264.109</v>
      </c>
      <c r="K141" s="0" t="n">
        <f aca="false">IF(C141="","",G141*I141^2)</f>
        <v>1900606.55445</v>
      </c>
      <c r="L141" s="0" t="n">
        <f aca="false">IF(C141="","",1/12*D141*E141^3*(COS(DEGREES(F141)))^2)</f>
        <v>39.858075</v>
      </c>
      <c r="M141" s="0" t="n">
        <f aca="false">IF(C141="","",1/12*D141*E141^3*(SIN(DEGREES(F141)))^2)</f>
        <v>0</v>
      </c>
      <c r="N141" s="0" t="n">
        <f aca="false">IF(C141="","",L141+M141)</f>
        <v>39.858075</v>
      </c>
    </row>
    <row r="142" customFormat="false" ht="14.25" hidden="false" customHeight="false" outlineLevel="0" collapsed="false">
      <c r="B142" s="0" t="s">
        <v>105</v>
      </c>
      <c r="G142" s="0" t="str">
        <f aca="false">IF(C142="","",C142*D142*E142)</f>
        <v/>
      </c>
      <c r="J142" s="0" t="str">
        <f aca="false">IF(C142="","",G142*I142)</f>
        <v/>
      </c>
      <c r="K142" s="0" t="str">
        <f aca="false">IF(C142="","",G142*I142^2)</f>
        <v/>
      </c>
      <c r="L142" s="0" t="str">
        <f aca="false">IF(C142="","",1/12*D142*E142^3*(COS(DEGREES(F142)))^2)</f>
        <v/>
      </c>
      <c r="M142" s="0" t="str">
        <f aca="false">IF(C142="","",1/12*D142*E142^3*(SIN(DEGREES(F142)))^2)</f>
        <v/>
      </c>
      <c r="N142" s="0" t="str">
        <f aca="false">IF(C142="","",L142+M142)</f>
        <v/>
      </c>
    </row>
    <row r="143" customFormat="false" ht="14.25" hidden="false" customHeight="false" outlineLevel="0" collapsed="false">
      <c r="B143" s="2" t="s">
        <v>60</v>
      </c>
      <c r="C143" s="0" t="n">
        <v>2</v>
      </c>
      <c r="D143" s="0" t="n">
        <v>15</v>
      </c>
      <c r="E143" s="0" t="n">
        <v>0.9</v>
      </c>
      <c r="F143" s="0" t="n">
        <v>0</v>
      </c>
      <c r="G143" s="0" t="n">
        <f aca="false">IF(C143="","",C143*D143*E143)</f>
        <v>27</v>
      </c>
      <c r="H143" s="0" t="n">
        <f aca="false">H140+$A$126</f>
        <v>426.1</v>
      </c>
      <c r="I143" s="0" t="n">
        <f aca="false">H143+(E143/2)</f>
        <v>426.55</v>
      </c>
      <c r="J143" s="0" t="n">
        <f aca="false">IF(C143="","",G143*I143)</f>
        <v>11516.85</v>
      </c>
      <c r="K143" s="0" t="n">
        <f aca="false">IF(C143="","",G143*I143^2)</f>
        <v>4912512.3675</v>
      </c>
      <c r="L143" s="0" t="n">
        <f aca="false">IF(C143="","",1/12*D143*E143^3*(COS(DEGREES(F143)))^2)</f>
        <v>0.91125</v>
      </c>
      <c r="M143" s="0" t="n">
        <f aca="false">IF(C143="","",1/12*D143*E143^3*(SIN(DEGREES(F143)))^2)</f>
        <v>0</v>
      </c>
      <c r="N143" s="0" t="n">
        <f aca="false">IF(C143="","",L143+M143)</f>
        <v>0.91125</v>
      </c>
    </row>
    <row r="144" customFormat="false" ht="14.25" hidden="false" customHeight="false" outlineLevel="0" collapsed="false">
      <c r="B144" s="2" t="s">
        <v>61</v>
      </c>
      <c r="C144" s="0" t="n">
        <v>2</v>
      </c>
      <c r="D144" s="0" t="n">
        <v>0.9</v>
      </c>
      <c r="E144" s="0" t="n">
        <v>8.1</v>
      </c>
      <c r="F144" s="0" t="n">
        <v>0</v>
      </c>
      <c r="G144" s="0" t="n">
        <f aca="false">IF(C144="","",C144*D144*E144)</f>
        <v>14.58</v>
      </c>
      <c r="H144" s="0" t="n">
        <f aca="false">H141+$A$126</f>
        <v>418</v>
      </c>
      <c r="I144" s="0" t="n">
        <f aca="false">H144+(E144/2)</f>
        <v>422.05</v>
      </c>
      <c r="J144" s="0" t="n">
        <f aca="false">IF(C144="","",G144*I144)</f>
        <v>6153.489</v>
      </c>
      <c r="K144" s="0" t="n">
        <f aca="false">IF(C144="","",G144*I144^2)</f>
        <v>2597080.03245</v>
      </c>
      <c r="L144" s="0" t="n">
        <f aca="false">IF(C144="","",1/12*D144*E144^3*(COS(DEGREES(F144)))^2)</f>
        <v>39.858075</v>
      </c>
      <c r="M144" s="0" t="n">
        <f aca="false">IF(C144="","",1/12*D144*E144^3*(SIN(DEGREES(F144)))^2)</f>
        <v>0</v>
      </c>
      <c r="N144" s="0" t="n">
        <f aca="false">IF(C144="","",L144+M144)</f>
        <v>39.858075</v>
      </c>
    </row>
    <row r="145" customFormat="false" ht="14.25" hidden="false" customHeight="false" outlineLevel="0" collapsed="false">
      <c r="B145" s="0" t="s">
        <v>106</v>
      </c>
      <c r="G145" s="0" t="str">
        <f aca="false">IF(C145="","",C145*D145*E145)</f>
        <v/>
      </c>
      <c r="J145" s="0" t="str">
        <f aca="false">IF(C145="","",G145*I145)</f>
        <v/>
      </c>
      <c r="K145" s="0" t="str">
        <f aca="false">IF(C145="","",G145*I145^2)</f>
        <v/>
      </c>
      <c r="L145" s="0" t="str">
        <f aca="false">IF(C145="","",1/12*D145*E145^3*(COS(DEGREES(F145)))^2)</f>
        <v/>
      </c>
      <c r="M145" s="0" t="str">
        <f aca="false">IF(C145="","",1/12*D145*E145^3*(SIN(DEGREES(F145)))^2)</f>
        <v/>
      </c>
      <c r="N145" s="0" t="str">
        <f aca="false">IF(C145="","",L145+M145)</f>
        <v/>
      </c>
    </row>
    <row r="146" customFormat="false" ht="14.25" hidden="false" customHeight="false" outlineLevel="0" collapsed="false">
      <c r="B146" s="2" t="s">
        <v>60</v>
      </c>
      <c r="C146" s="0" t="n">
        <v>2</v>
      </c>
      <c r="D146" s="0" t="n">
        <v>15</v>
      </c>
      <c r="E146" s="0" t="n">
        <v>0.9</v>
      </c>
      <c r="F146" s="0" t="n">
        <v>0</v>
      </c>
      <c r="G146" s="0" t="n">
        <f aca="false">IF(C146="","",C146*D146*E146)</f>
        <v>27</v>
      </c>
      <c r="H146" s="0" t="n">
        <f aca="false">H143+$A$126</f>
        <v>487.1</v>
      </c>
      <c r="I146" s="0" t="n">
        <f aca="false">H146+(E146/2)</f>
        <v>487.55</v>
      </c>
      <c r="J146" s="0" t="n">
        <f aca="false">IF(C146="","",G146*I146)</f>
        <v>13163.85</v>
      </c>
      <c r="K146" s="0" t="n">
        <f aca="false">IF(C146="","",G146*I146^2)</f>
        <v>6418035.0675</v>
      </c>
      <c r="L146" s="0" t="n">
        <f aca="false">IF(C146="","",1/12*D146*E146^3*(COS(DEGREES(F146)))^2)</f>
        <v>0.91125</v>
      </c>
      <c r="M146" s="0" t="n">
        <f aca="false">IF(C146="","",1/12*D146*E146^3*(SIN(DEGREES(F146)))^2)</f>
        <v>0</v>
      </c>
      <c r="N146" s="0" t="n">
        <f aca="false">IF(C146="","",L146+M146)</f>
        <v>0.91125</v>
      </c>
    </row>
    <row r="147" customFormat="false" ht="14.25" hidden="false" customHeight="false" outlineLevel="0" collapsed="false">
      <c r="B147" s="2" t="s">
        <v>61</v>
      </c>
      <c r="C147" s="0" t="n">
        <v>2</v>
      </c>
      <c r="D147" s="0" t="n">
        <v>0.9</v>
      </c>
      <c r="E147" s="0" t="n">
        <v>8.1</v>
      </c>
      <c r="F147" s="0" t="n">
        <v>0</v>
      </c>
      <c r="G147" s="0" t="n">
        <f aca="false">IF(C147="","",C147*D147*E147)</f>
        <v>14.58</v>
      </c>
      <c r="H147" s="0" t="n">
        <f aca="false">H144+$A$126</f>
        <v>479</v>
      </c>
      <c r="I147" s="0" t="n">
        <f aca="false">H147+(E147/2)</f>
        <v>483.05</v>
      </c>
      <c r="J147" s="0" t="n">
        <f aca="false">IF(C147="","",G147*I147)</f>
        <v>7042.869</v>
      </c>
      <c r="K147" s="0" t="n">
        <f aca="false">IF(C147="","",G147*I147^2)</f>
        <v>3402057.87045</v>
      </c>
      <c r="L147" s="0" t="n">
        <f aca="false">IF(C147="","",1/12*D147*E147^3*(COS(DEGREES(F147)))^2)</f>
        <v>39.858075</v>
      </c>
      <c r="M147" s="0" t="n">
        <f aca="false">IF(C147="","",1/12*D147*E147^3*(SIN(DEGREES(F147)))^2)</f>
        <v>0</v>
      </c>
      <c r="N147" s="0" t="n">
        <f aca="false">IF(C147="","",L147+M147)</f>
        <v>39.858075</v>
      </c>
    </row>
    <row r="148" customFormat="false" ht="14.25" hidden="false" customHeight="false" outlineLevel="0" collapsed="false">
      <c r="B148" s="0" t="s">
        <v>107</v>
      </c>
      <c r="G148" s="0" t="str">
        <f aca="false">IF(C148="","",C148*D148*E148)</f>
        <v/>
      </c>
      <c r="J148" s="0" t="str">
        <f aca="false">IF(C148="","",G148*I148)</f>
        <v/>
      </c>
      <c r="K148" s="0" t="str">
        <f aca="false">IF(C148="","",G148*I148^2)</f>
        <v/>
      </c>
      <c r="L148" s="0" t="str">
        <f aca="false">IF(C148="","",1/12*D148*E148^3*(COS(DEGREES(F148)))^2)</f>
        <v/>
      </c>
      <c r="M148" s="0" t="str">
        <f aca="false">IF(C148="","",1/12*D148*E148^3*(SIN(DEGREES(F148)))^2)</f>
        <v/>
      </c>
      <c r="N148" s="0" t="str">
        <f aca="false">IF(C148="","",L148+M148)</f>
        <v/>
      </c>
    </row>
    <row r="149" customFormat="false" ht="14.25" hidden="false" customHeight="false" outlineLevel="0" collapsed="false">
      <c r="B149" s="2" t="s">
        <v>60</v>
      </c>
      <c r="C149" s="0" t="n">
        <v>2</v>
      </c>
      <c r="D149" s="0" t="n">
        <v>15</v>
      </c>
      <c r="E149" s="0" t="n">
        <v>0.9</v>
      </c>
      <c r="F149" s="0" t="n">
        <v>0</v>
      </c>
      <c r="G149" s="0" t="n">
        <f aca="false">IF(C149="","",C149*D149*E149)</f>
        <v>27</v>
      </c>
      <c r="H149" s="0" t="n">
        <f aca="false">H146+$A$126</f>
        <v>548.1</v>
      </c>
      <c r="I149" s="0" t="n">
        <f aca="false">H149+(E149/2)</f>
        <v>548.55</v>
      </c>
      <c r="J149" s="0" t="n">
        <f aca="false">IF(C149="","",G149*I149)</f>
        <v>14810.85</v>
      </c>
      <c r="K149" s="0" t="n">
        <f aca="false">IF(C149="","",G149*I149^2)</f>
        <v>8124491.7675</v>
      </c>
      <c r="L149" s="0" t="n">
        <f aca="false">IF(C149="","",1/12*D149*E149^3*(COS(DEGREES(F149)))^2)</f>
        <v>0.91125</v>
      </c>
      <c r="M149" s="0" t="n">
        <f aca="false">IF(C149="","",1/12*D149*E149^3*(SIN(DEGREES(F149)))^2)</f>
        <v>0</v>
      </c>
      <c r="N149" s="0" t="n">
        <f aca="false">IF(C149="","",L149+M149)</f>
        <v>0.91125</v>
      </c>
    </row>
    <row r="150" customFormat="false" ht="14.25" hidden="false" customHeight="false" outlineLevel="0" collapsed="false">
      <c r="B150" s="2" t="s">
        <v>61</v>
      </c>
      <c r="C150" s="0" t="n">
        <v>2</v>
      </c>
      <c r="D150" s="0" t="n">
        <v>0.9</v>
      </c>
      <c r="E150" s="0" t="n">
        <v>8.1</v>
      </c>
      <c r="F150" s="0" t="n">
        <v>0</v>
      </c>
      <c r="G150" s="0" t="n">
        <f aca="false">IF(C150="","",C150*D150*E150)</f>
        <v>14.58</v>
      </c>
      <c r="H150" s="0" t="n">
        <f aca="false">H147+$A$126</f>
        <v>540</v>
      </c>
      <c r="I150" s="0" t="n">
        <f aca="false">H150+(E150/2)</f>
        <v>544.05</v>
      </c>
      <c r="J150" s="0" t="n">
        <f aca="false">IF(C150="","",G150*I150)</f>
        <v>7932.249</v>
      </c>
      <c r="K150" s="0" t="n">
        <f aca="false">IF(C150="","",G150*I150^2)</f>
        <v>4315540.06845</v>
      </c>
      <c r="L150" s="0" t="n">
        <f aca="false">IF(C150="","",1/12*D150*E150^3*(COS(DEGREES(F150)))^2)</f>
        <v>39.858075</v>
      </c>
      <c r="M150" s="0" t="n">
        <f aca="false">IF(C150="","",1/12*D150*E150^3*(SIN(DEGREES(F150)))^2)</f>
        <v>0</v>
      </c>
      <c r="N150" s="0" t="n">
        <f aca="false">IF(C150="","",L150+M150)</f>
        <v>39.858075</v>
      </c>
    </row>
    <row r="151" customFormat="false" ht="14.25" hidden="false" customHeight="false" outlineLevel="0" collapsed="false">
      <c r="G151" s="0" t="str">
        <f aca="false">IF(C151="","",C151*D151*E151)</f>
        <v/>
      </c>
      <c r="J151" s="0" t="str">
        <f aca="false">IF(C151="","",G151*I151)</f>
        <v/>
      </c>
      <c r="K151" s="0" t="str">
        <f aca="false">IF(C151="","",G151*I151^2)</f>
        <v/>
      </c>
      <c r="L151" s="0" t="str">
        <f aca="false">IF(C151="","",1/12*D151*E151^3*(COS(DEGREES(F151)))^2)</f>
        <v/>
      </c>
      <c r="M151" s="0" t="str">
        <f aca="false">IF(C151="","",1/12*D151*E151^3*(SIN(DEGREES(F151)))^2)</f>
        <v/>
      </c>
      <c r="N151" s="0" t="str">
        <f aca="false">IF(C151="","",L151+M151)</f>
        <v/>
      </c>
    </row>
    <row r="152" customFormat="false" ht="14.25" hidden="false" customHeight="false" outlineLevel="0" collapsed="false">
      <c r="B152" s="0" t="s">
        <v>108</v>
      </c>
      <c r="G152" s="0" t="str">
        <f aca="false">IF(C152="","",C152*D152*E152)</f>
        <v/>
      </c>
      <c r="J152" s="0" t="str">
        <f aca="false">IF(C152="","",G152*I152)</f>
        <v/>
      </c>
      <c r="K152" s="0" t="str">
        <f aca="false">IF(C152="","",G152*I152^2)</f>
        <v/>
      </c>
      <c r="L152" s="0" t="str">
        <f aca="false">IF(C152="","",1/12*D152*E152^3*(COS(DEGREES(F152)))^2)</f>
        <v/>
      </c>
      <c r="M152" s="0" t="str">
        <f aca="false">IF(C152="","",1/12*D152*E152^3*(SIN(DEGREES(F152)))^2)</f>
        <v/>
      </c>
      <c r="N152" s="0" t="str">
        <f aca="false">IF(C152="","",L152+M152)</f>
        <v/>
      </c>
    </row>
    <row r="153" customFormat="false" ht="14.25" hidden="false" customHeight="false" outlineLevel="0" collapsed="false">
      <c r="B153" s="2" t="s">
        <v>60</v>
      </c>
      <c r="C153" s="0" t="n">
        <v>2</v>
      </c>
      <c r="D153" s="0" t="n">
        <v>15</v>
      </c>
      <c r="E153" s="0" t="n">
        <v>0.9</v>
      </c>
      <c r="F153" s="0" t="n">
        <v>0</v>
      </c>
      <c r="G153" s="0" t="n">
        <f aca="false">IF(C153="","",C153*D153*E153)</f>
        <v>27</v>
      </c>
      <c r="H153" s="0" t="n">
        <f aca="false">61-E153</f>
        <v>60.1</v>
      </c>
      <c r="I153" s="0" t="n">
        <f aca="false">H153+(E153/2)</f>
        <v>60.55</v>
      </c>
      <c r="J153" s="0" t="n">
        <f aca="false">IF(C153="","",G153*I153)</f>
        <v>1634.85</v>
      </c>
      <c r="K153" s="0" t="n">
        <f aca="false">IF(C153="","",G153*I153^2)</f>
        <v>98990.1675</v>
      </c>
      <c r="L153" s="0" t="n">
        <f aca="false">IF(C153="","",1/12*D153*E153^3*(COS(DEGREES(F153)))^2)</f>
        <v>0.91125</v>
      </c>
      <c r="M153" s="0" t="n">
        <f aca="false">IF(C153="","",1/12*D153*E153^3*(SIN(DEGREES(F153)))^2)</f>
        <v>0</v>
      </c>
      <c r="N153" s="0" t="n">
        <f aca="false">IF(C153="","",L153+M153)</f>
        <v>0.91125</v>
      </c>
    </row>
    <row r="154" customFormat="false" ht="14.25" hidden="false" customHeight="false" outlineLevel="0" collapsed="false">
      <c r="B154" s="2" t="s">
        <v>61</v>
      </c>
      <c r="C154" s="0" t="n">
        <v>2</v>
      </c>
      <c r="D154" s="0" t="n">
        <v>0.9</v>
      </c>
      <c r="E154" s="0" t="n">
        <v>8.1</v>
      </c>
      <c r="F154" s="0" t="n">
        <v>0</v>
      </c>
      <c r="G154" s="0" t="n">
        <f aca="false">IF(C154="","",C154*D154*E154)</f>
        <v>14.58</v>
      </c>
      <c r="H154" s="0" t="n">
        <f aca="false">H153-E154</f>
        <v>52</v>
      </c>
      <c r="I154" s="0" t="n">
        <f aca="false">H154+(E154/2)</f>
        <v>56.05</v>
      </c>
      <c r="J154" s="0" t="n">
        <f aca="false">IF(C154="","",G154*I154)</f>
        <v>817.209</v>
      </c>
      <c r="K154" s="0" t="n">
        <f aca="false">IF(C154="","",G154*I154^2)</f>
        <v>45804.56445</v>
      </c>
      <c r="L154" s="0" t="n">
        <f aca="false">IF(C154="","",1/12*D154*E154^3*(COS(DEGREES(F154)))^2)</f>
        <v>39.858075</v>
      </c>
      <c r="M154" s="0" t="n">
        <f aca="false">IF(C154="","",1/12*D154*E154^3*(SIN(DEGREES(F154)))^2)</f>
        <v>0</v>
      </c>
      <c r="N154" s="0" t="n">
        <f aca="false">IF(C154="","",L154+M154)</f>
        <v>39.858075</v>
      </c>
    </row>
    <row r="155" customFormat="false" ht="14.25" hidden="false" customHeight="false" outlineLevel="0" collapsed="false">
      <c r="B155" s="0" t="s">
        <v>109</v>
      </c>
      <c r="G155" s="0" t="str">
        <f aca="false">IF(C155="","",C155*D155*E155)</f>
        <v/>
      </c>
      <c r="J155" s="0" t="str">
        <f aca="false">IF(C155="","",G155*I155)</f>
        <v/>
      </c>
      <c r="K155" s="0" t="str">
        <f aca="false">IF(C155="","",G155*I155^2)</f>
        <v/>
      </c>
      <c r="L155" s="0" t="str">
        <f aca="false">IF(C155="","",1/12*D155*E155^3*(COS(DEGREES(F155)))^2)</f>
        <v/>
      </c>
      <c r="M155" s="0" t="str">
        <f aca="false">IF(C155="","",1/12*D155*E155^3*(SIN(DEGREES(F155)))^2)</f>
        <v/>
      </c>
      <c r="N155" s="0" t="str">
        <f aca="false">IF(C155="","",L155+M155)</f>
        <v/>
      </c>
    </row>
    <row r="156" customFormat="false" ht="14.25" hidden="false" customHeight="false" outlineLevel="0" collapsed="false">
      <c r="B156" s="2" t="s">
        <v>60</v>
      </c>
      <c r="C156" s="0" t="n">
        <v>2</v>
      </c>
      <c r="D156" s="0" t="n">
        <v>15</v>
      </c>
      <c r="E156" s="0" t="n">
        <v>0.9</v>
      </c>
      <c r="F156" s="0" t="n">
        <v>0</v>
      </c>
      <c r="G156" s="0" t="n">
        <f aca="false">IF(C156="","",C156*D156*E156)</f>
        <v>27</v>
      </c>
      <c r="H156" s="0" t="n">
        <f aca="false">H153+62</f>
        <v>122.1</v>
      </c>
      <c r="I156" s="0" t="n">
        <f aca="false">H156+(E156/2)</f>
        <v>122.55</v>
      </c>
      <c r="J156" s="0" t="n">
        <f aca="false">IF(C156="","",G156*I156)</f>
        <v>3308.85</v>
      </c>
      <c r="K156" s="0" t="n">
        <f aca="false">IF(C156="","",G156*I156^2)</f>
        <v>405499.5675</v>
      </c>
      <c r="L156" s="0" t="n">
        <f aca="false">IF(C156="","",1/12*D156*E156^3*(COS(DEGREES(F156)))^2)</f>
        <v>0.91125</v>
      </c>
      <c r="M156" s="0" t="n">
        <f aca="false">IF(C156="","",1/12*D156*E156^3*(SIN(DEGREES(F156)))^2)</f>
        <v>0</v>
      </c>
      <c r="N156" s="0" t="n">
        <f aca="false">IF(C156="","",L156+M156)</f>
        <v>0.91125</v>
      </c>
    </row>
    <row r="157" customFormat="false" ht="14.25" hidden="false" customHeight="false" outlineLevel="0" collapsed="false">
      <c r="B157" s="2" t="s">
        <v>61</v>
      </c>
      <c r="C157" s="0" t="n">
        <v>2</v>
      </c>
      <c r="D157" s="0" t="n">
        <v>0.9</v>
      </c>
      <c r="E157" s="0" t="n">
        <v>8.1</v>
      </c>
      <c r="F157" s="0" t="n">
        <v>0</v>
      </c>
      <c r="G157" s="0" t="n">
        <f aca="false">IF(C157="","",C157*D157*E157)</f>
        <v>14.58</v>
      </c>
      <c r="H157" s="0" t="n">
        <f aca="false">H154+62</f>
        <v>114</v>
      </c>
      <c r="I157" s="0" t="n">
        <f aca="false">H157+(E157/2)</f>
        <v>118.05</v>
      </c>
      <c r="J157" s="0" t="n">
        <f aca="false">IF(C157="","",G157*I157)</f>
        <v>1721.169</v>
      </c>
      <c r="K157" s="0" t="n">
        <f aca="false">IF(C157="","",G157*I157^2)</f>
        <v>203184.00045</v>
      </c>
      <c r="L157" s="0" t="n">
        <f aca="false">IF(C157="","",1/12*D157*E157^3*(COS(DEGREES(F157)))^2)</f>
        <v>39.858075</v>
      </c>
      <c r="M157" s="0" t="n">
        <f aca="false">IF(C157="","",1/12*D157*E157^3*(SIN(DEGREES(F157)))^2)</f>
        <v>0</v>
      </c>
      <c r="N157" s="0" t="n">
        <f aca="false">IF(C157="","",L157+M157)</f>
        <v>39.858075</v>
      </c>
    </row>
    <row r="158" customFormat="false" ht="14.25" hidden="false" customHeight="false" outlineLevel="0" collapsed="false">
      <c r="B158" s="0" t="s">
        <v>110</v>
      </c>
      <c r="G158" s="0" t="str">
        <f aca="false">IF(C158="","",C158*D158*E158)</f>
        <v/>
      </c>
      <c r="J158" s="0" t="str">
        <f aca="false">IF(C158="","",G158*I158)</f>
        <v/>
      </c>
      <c r="K158" s="0" t="str">
        <f aca="false">IF(C158="","",G158*I158^2)</f>
        <v/>
      </c>
      <c r="L158" s="0" t="str">
        <f aca="false">IF(C158="","",1/12*D158*E158^3*(COS(DEGREES(F158)))^2)</f>
        <v/>
      </c>
      <c r="M158" s="0" t="str">
        <f aca="false">IF(C158="","",1/12*D158*E158^3*(SIN(DEGREES(F158)))^2)</f>
        <v/>
      </c>
      <c r="N158" s="0" t="str">
        <f aca="false">IF(C158="","",L158+M158)</f>
        <v/>
      </c>
    </row>
    <row r="159" customFormat="false" ht="14.25" hidden="false" customHeight="false" outlineLevel="0" collapsed="false">
      <c r="B159" s="2" t="s">
        <v>60</v>
      </c>
      <c r="C159" s="0" t="n">
        <v>2</v>
      </c>
      <c r="D159" s="0" t="n">
        <v>15</v>
      </c>
      <c r="E159" s="0" t="n">
        <v>0.9</v>
      </c>
      <c r="F159" s="0" t="n">
        <v>0</v>
      </c>
      <c r="G159" s="0" t="n">
        <f aca="false">IF(C159="","",C159*D159*E159)</f>
        <v>27</v>
      </c>
      <c r="H159" s="0" t="n">
        <f aca="false">H156+$A$126</f>
        <v>183.1</v>
      </c>
      <c r="I159" s="0" t="n">
        <f aca="false">H159+(E159/2)</f>
        <v>183.55</v>
      </c>
      <c r="J159" s="0" t="n">
        <f aca="false">IF(C159="","",G159*I159)</f>
        <v>4955.85</v>
      </c>
      <c r="K159" s="0" t="n">
        <f aca="false">IF(C159="","",G159*I159^2)</f>
        <v>909646.2675</v>
      </c>
      <c r="L159" s="0" t="n">
        <f aca="false">IF(C159="","",1/12*D159*E159^3*(COS(DEGREES(F159)))^2)</f>
        <v>0.91125</v>
      </c>
      <c r="M159" s="0" t="n">
        <f aca="false">IF(C159="","",1/12*D159*E159^3*(SIN(DEGREES(F159)))^2)</f>
        <v>0</v>
      </c>
      <c r="N159" s="0" t="n">
        <f aca="false">IF(C159="","",L159+M159)</f>
        <v>0.91125</v>
      </c>
    </row>
    <row r="160" customFormat="false" ht="14.25" hidden="false" customHeight="false" outlineLevel="0" collapsed="false">
      <c r="B160" s="2" t="s">
        <v>61</v>
      </c>
      <c r="C160" s="0" t="n">
        <v>2</v>
      </c>
      <c r="D160" s="0" t="n">
        <v>0.9</v>
      </c>
      <c r="E160" s="0" t="n">
        <v>8.1</v>
      </c>
      <c r="F160" s="0" t="n">
        <v>0</v>
      </c>
      <c r="G160" s="0" t="n">
        <f aca="false">IF(C160="","",C160*D160*E160)</f>
        <v>14.58</v>
      </c>
      <c r="H160" s="0" t="n">
        <f aca="false">H157+$A$126</f>
        <v>175</v>
      </c>
      <c r="I160" s="0" t="n">
        <f aca="false">H160+(E160/2)</f>
        <v>179.05</v>
      </c>
      <c r="J160" s="0" t="n">
        <f aca="false">IF(C160="","",G160*I160)</f>
        <v>2610.549</v>
      </c>
      <c r="K160" s="0" t="n">
        <f aca="false">IF(C160="","",G160*I160^2)</f>
        <v>467418.79845</v>
      </c>
      <c r="L160" s="0" t="n">
        <f aca="false">IF(C160="","",1/12*D160*E160^3*(COS(DEGREES(F160)))^2)</f>
        <v>39.858075</v>
      </c>
      <c r="M160" s="0" t="n">
        <f aca="false">IF(C160="","",1/12*D160*E160^3*(SIN(DEGREES(F160)))^2)</f>
        <v>0</v>
      </c>
      <c r="N160" s="0" t="n">
        <f aca="false">IF(C160="","",L160+M160)</f>
        <v>39.858075</v>
      </c>
    </row>
    <row r="161" customFormat="false" ht="14.25" hidden="false" customHeight="false" outlineLevel="0" collapsed="false">
      <c r="B161" s="0" t="s">
        <v>111</v>
      </c>
      <c r="G161" s="0" t="str">
        <f aca="false">IF(C161="","",C161*D161*E161)</f>
        <v/>
      </c>
      <c r="J161" s="0" t="str">
        <f aca="false">IF(C161="","",G161*I161)</f>
        <v/>
      </c>
      <c r="K161" s="0" t="str">
        <f aca="false">IF(C161="","",G161*I161^2)</f>
        <v/>
      </c>
      <c r="L161" s="0" t="str">
        <f aca="false">IF(C161="","",1/12*D161*E161^3*(COS(DEGREES(F161)))^2)</f>
        <v/>
      </c>
      <c r="M161" s="0" t="str">
        <f aca="false">IF(C161="","",1/12*D161*E161^3*(SIN(DEGREES(F161)))^2)</f>
        <v/>
      </c>
      <c r="N161" s="0" t="str">
        <f aca="false">IF(C161="","",L161+M161)</f>
        <v/>
      </c>
    </row>
    <row r="162" customFormat="false" ht="14.25" hidden="false" customHeight="false" outlineLevel="0" collapsed="false">
      <c r="B162" s="2" t="s">
        <v>60</v>
      </c>
      <c r="C162" s="0" t="n">
        <v>2</v>
      </c>
      <c r="D162" s="0" t="n">
        <v>15</v>
      </c>
      <c r="E162" s="0" t="n">
        <v>0.9</v>
      </c>
      <c r="F162" s="0" t="n">
        <v>0</v>
      </c>
      <c r="G162" s="0" t="n">
        <f aca="false">IF(C162="","",C162*D162*E162)</f>
        <v>27</v>
      </c>
      <c r="H162" s="0" t="n">
        <f aca="false">H159+$A$126</f>
        <v>244.1</v>
      </c>
      <c r="I162" s="0" t="n">
        <f aca="false">H162+(E162/2)</f>
        <v>244.55</v>
      </c>
      <c r="J162" s="0" t="n">
        <f aca="false">IF(C162="","",G162*I162)</f>
        <v>6602.85</v>
      </c>
      <c r="K162" s="0" t="n">
        <f aca="false">IF(C162="","",G162*I162^2)</f>
        <v>1614726.9675</v>
      </c>
      <c r="L162" s="0" t="n">
        <f aca="false">IF(C162="","",1/12*D162*E162^3*(COS(DEGREES(F162)))^2)</f>
        <v>0.91125</v>
      </c>
      <c r="M162" s="0" t="n">
        <f aca="false">IF(C162="","",1/12*D162*E162^3*(SIN(DEGREES(F162)))^2)</f>
        <v>0</v>
      </c>
      <c r="N162" s="0" t="n">
        <f aca="false">IF(C162="","",L162+M162)</f>
        <v>0.91125</v>
      </c>
    </row>
    <row r="163" customFormat="false" ht="14.25" hidden="false" customHeight="false" outlineLevel="0" collapsed="false">
      <c r="B163" s="2" t="s">
        <v>61</v>
      </c>
      <c r="C163" s="0" t="n">
        <v>2</v>
      </c>
      <c r="D163" s="0" t="n">
        <v>0.9</v>
      </c>
      <c r="E163" s="0" t="n">
        <v>8.1</v>
      </c>
      <c r="F163" s="0" t="n">
        <v>0</v>
      </c>
      <c r="G163" s="0" t="n">
        <f aca="false">IF(C163="","",C163*D163*E163)</f>
        <v>14.58</v>
      </c>
      <c r="H163" s="0" t="n">
        <f aca="false">H160+$A$126</f>
        <v>236</v>
      </c>
      <c r="I163" s="0" t="n">
        <f aca="false">H163+(E163/2)</f>
        <v>240.05</v>
      </c>
      <c r="J163" s="0" t="n">
        <f aca="false">IF(C163="","",G163*I163)</f>
        <v>3499.929</v>
      </c>
      <c r="K163" s="0" t="n">
        <f aca="false">IF(C163="","",G163*I163^2)</f>
        <v>840157.95645</v>
      </c>
      <c r="L163" s="0" t="n">
        <f aca="false">IF(C163="","",1/12*D163*E163^3*(COS(DEGREES(F163)))^2)</f>
        <v>39.858075</v>
      </c>
      <c r="M163" s="0" t="n">
        <f aca="false">IF(C163="","",1/12*D163*E163^3*(SIN(DEGREES(F163)))^2)</f>
        <v>0</v>
      </c>
      <c r="N163" s="0" t="n">
        <f aca="false">IF(C163="","",L163+M163)</f>
        <v>39.858075</v>
      </c>
    </row>
    <row r="164" customFormat="false" ht="14.25" hidden="false" customHeight="false" outlineLevel="0" collapsed="false">
      <c r="B164" s="0" t="s">
        <v>112</v>
      </c>
      <c r="G164" s="0" t="str">
        <f aca="false">IF(C164="","",C164*D164*E164)</f>
        <v/>
      </c>
      <c r="J164" s="0" t="str">
        <f aca="false">IF(C164="","",G164*I164)</f>
        <v/>
      </c>
      <c r="K164" s="0" t="str">
        <f aca="false">IF(C164="","",G164*I164^2)</f>
        <v/>
      </c>
      <c r="L164" s="0" t="str">
        <f aca="false">IF(C164="","",1/12*D164*E164^3*(COS(DEGREES(F164)))^2)</f>
        <v/>
      </c>
      <c r="M164" s="0" t="str">
        <f aca="false">IF(C164="","",1/12*D164*E164^3*(SIN(DEGREES(F164)))^2)</f>
        <v/>
      </c>
      <c r="N164" s="0" t="str">
        <f aca="false">IF(C164="","",L164+M164)</f>
        <v/>
      </c>
    </row>
    <row r="165" customFormat="false" ht="14.25" hidden="false" customHeight="false" outlineLevel="0" collapsed="false">
      <c r="B165" s="2" t="s">
        <v>60</v>
      </c>
      <c r="C165" s="0" t="n">
        <v>2</v>
      </c>
      <c r="D165" s="0" t="n">
        <v>15</v>
      </c>
      <c r="E165" s="0" t="n">
        <v>0.9</v>
      </c>
      <c r="F165" s="0" t="n">
        <v>0</v>
      </c>
      <c r="G165" s="0" t="n">
        <f aca="false">IF(C165="","",C165*D165*E165)</f>
        <v>27</v>
      </c>
      <c r="H165" s="0" t="n">
        <f aca="false">H162+$A$126</f>
        <v>305.1</v>
      </c>
      <c r="I165" s="0" t="n">
        <f aca="false">H165+(E165/2)</f>
        <v>305.55</v>
      </c>
      <c r="J165" s="0" t="n">
        <f aca="false">IF(C165="","",G165*I165)</f>
        <v>8249.85</v>
      </c>
      <c r="K165" s="0" t="n">
        <f aca="false">IF(C165="","",G165*I165^2)</f>
        <v>2520741.6675</v>
      </c>
      <c r="L165" s="0" t="n">
        <f aca="false">IF(C165="","",1/12*D165*E165^3*(COS(DEGREES(F165)))^2)</f>
        <v>0.91125</v>
      </c>
      <c r="M165" s="0" t="n">
        <f aca="false">IF(C165="","",1/12*D165*E165^3*(SIN(DEGREES(F165)))^2)</f>
        <v>0</v>
      </c>
      <c r="N165" s="0" t="n">
        <f aca="false">IF(C165="","",L165+M165)</f>
        <v>0.91125</v>
      </c>
    </row>
    <row r="166" customFormat="false" ht="14.25" hidden="false" customHeight="false" outlineLevel="0" collapsed="false">
      <c r="B166" s="2" t="s">
        <v>61</v>
      </c>
      <c r="C166" s="0" t="n">
        <v>2</v>
      </c>
      <c r="D166" s="0" t="n">
        <v>0.9</v>
      </c>
      <c r="E166" s="0" t="n">
        <v>8.1</v>
      </c>
      <c r="F166" s="0" t="n">
        <v>0</v>
      </c>
      <c r="G166" s="0" t="n">
        <f aca="false">IF(C166="","",C166*D166*E166)</f>
        <v>14.58</v>
      </c>
      <c r="H166" s="0" t="n">
        <f aca="false">H163+$A$126</f>
        <v>297</v>
      </c>
      <c r="I166" s="0" t="n">
        <f aca="false">H166+(E166/2)</f>
        <v>301.05</v>
      </c>
      <c r="J166" s="0" t="n">
        <f aca="false">IF(C166="","",G166*I166)</f>
        <v>4389.309</v>
      </c>
      <c r="K166" s="0" t="n">
        <f aca="false">IF(C166="","",G166*I166^2)</f>
        <v>1321401.47445</v>
      </c>
      <c r="L166" s="0" t="n">
        <f aca="false">IF(C166="","",1/12*D166*E166^3*(COS(DEGREES(F166)))^2)</f>
        <v>39.858075</v>
      </c>
      <c r="M166" s="0" t="n">
        <f aca="false">IF(C166="","",1/12*D166*E166^3*(SIN(DEGREES(F166)))^2)</f>
        <v>0</v>
      </c>
      <c r="N166" s="0" t="n">
        <f aca="false">IF(C166="","",L166+M166)</f>
        <v>39.858075</v>
      </c>
    </row>
    <row r="167" customFormat="false" ht="14.25" hidden="false" customHeight="false" outlineLevel="0" collapsed="false">
      <c r="B167" s="0" t="s">
        <v>113</v>
      </c>
      <c r="G167" s="0" t="str">
        <f aca="false">IF(C167="","",C167*D167*E167)</f>
        <v/>
      </c>
      <c r="J167" s="0" t="str">
        <f aca="false">IF(C167="","",G167*I167)</f>
        <v/>
      </c>
      <c r="K167" s="0" t="str">
        <f aca="false">IF(C167="","",G167*I167^2)</f>
        <v/>
      </c>
      <c r="L167" s="0" t="str">
        <f aca="false">IF(C167="","",1/12*D167*E167^3*(COS(DEGREES(F167)))^2)</f>
        <v/>
      </c>
      <c r="M167" s="0" t="str">
        <f aca="false">IF(C167="","",1/12*D167*E167^3*(SIN(DEGREES(F167)))^2)</f>
        <v/>
      </c>
      <c r="N167" s="0" t="str">
        <f aca="false">IF(C167="","",L167+M167)</f>
        <v/>
      </c>
    </row>
    <row r="168" customFormat="false" ht="14.25" hidden="false" customHeight="false" outlineLevel="0" collapsed="false">
      <c r="B168" s="2" t="s">
        <v>60</v>
      </c>
      <c r="C168" s="0" t="n">
        <v>2</v>
      </c>
      <c r="D168" s="0" t="n">
        <v>15</v>
      </c>
      <c r="E168" s="0" t="n">
        <v>0.9</v>
      </c>
      <c r="F168" s="0" t="n">
        <v>0</v>
      </c>
      <c r="G168" s="0" t="n">
        <f aca="false">IF(C168="","",C168*D168*E168)</f>
        <v>27</v>
      </c>
      <c r="H168" s="0" t="n">
        <f aca="false">H165+$A$126</f>
        <v>366.1</v>
      </c>
      <c r="I168" s="0" t="n">
        <f aca="false">H168+(E168/2)</f>
        <v>366.55</v>
      </c>
      <c r="J168" s="0" t="n">
        <f aca="false">IF(C168="","",G168*I168)</f>
        <v>9896.85</v>
      </c>
      <c r="K168" s="0" t="n">
        <f aca="false">IF(C168="","",G168*I168^2)</f>
        <v>3627690.3675</v>
      </c>
      <c r="L168" s="0" t="n">
        <f aca="false">IF(C168="","",1/12*D168*E168^3*(COS(DEGREES(F168)))^2)</f>
        <v>0.91125</v>
      </c>
      <c r="M168" s="0" t="n">
        <f aca="false">IF(C168="","",1/12*D168*E168^3*(SIN(DEGREES(F168)))^2)</f>
        <v>0</v>
      </c>
      <c r="N168" s="0" t="n">
        <f aca="false">IF(C168="","",L168+M168)</f>
        <v>0.91125</v>
      </c>
    </row>
    <row r="169" customFormat="false" ht="14.25" hidden="false" customHeight="false" outlineLevel="0" collapsed="false">
      <c r="B169" s="2" t="s">
        <v>61</v>
      </c>
      <c r="C169" s="0" t="n">
        <v>2</v>
      </c>
      <c r="D169" s="0" t="n">
        <v>0.9</v>
      </c>
      <c r="E169" s="0" t="n">
        <v>8.1</v>
      </c>
      <c r="F169" s="0" t="n">
        <v>0</v>
      </c>
      <c r="G169" s="0" t="n">
        <f aca="false">IF(C169="","",C169*D169*E169)</f>
        <v>14.58</v>
      </c>
      <c r="H169" s="0" t="n">
        <f aca="false">H166+$A$126</f>
        <v>358</v>
      </c>
      <c r="I169" s="0" t="n">
        <f aca="false">H169+(E169/2)</f>
        <v>362.05</v>
      </c>
      <c r="J169" s="0" t="n">
        <f aca="false">IF(C169="","",G169*I169)</f>
        <v>5278.689</v>
      </c>
      <c r="K169" s="0" t="n">
        <f aca="false">IF(C169="","",G169*I169^2)</f>
        <v>1911149.35245</v>
      </c>
      <c r="L169" s="0" t="n">
        <f aca="false">IF(C169="","",1/12*D169*E169^3*(COS(DEGREES(F169)))^2)</f>
        <v>39.858075</v>
      </c>
      <c r="M169" s="0" t="n">
        <f aca="false">IF(C169="","",1/12*D169*E169^3*(SIN(DEGREES(F169)))^2)</f>
        <v>0</v>
      </c>
      <c r="N169" s="0" t="n">
        <f aca="false">IF(C169="","",L169+M169)</f>
        <v>39.858075</v>
      </c>
    </row>
    <row r="170" customFormat="false" ht="14.25" hidden="false" customHeight="false" outlineLevel="0" collapsed="false">
      <c r="B170" s="0" t="s">
        <v>114</v>
      </c>
      <c r="G170" s="0" t="str">
        <f aca="false">IF(C170="","",C170*D170*E170)</f>
        <v/>
      </c>
      <c r="J170" s="0" t="str">
        <f aca="false">IF(C170="","",G170*I170)</f>
        <v/>
      </c>
      <c r="K170" s="0" t="str">
        <f aca="false">IF(C170="","",G170*I170^2)</f>
        <v/>
      </c>
      <c r="L170" s="0" t="str">
        <f aca="false">IF(C170="","",1/12*D170*E170^3*(COS(DEGREES(F170)))^2)</f>
        <v/>
      </c>
      <c r="M170" s="0" t="str">
        <f aca="false">IF(C170="","",1/12*D170*E170^3*(SIN(DEGREES(F170)))^2)</f>
        <v/>
      </c>
      <c r="N170" s="0" t="str">
        <f aca="false">IF(C170="","",L170+M170)</f>
        <v/>
      </c>
    </row>
    <row r="171" customFormat="false" ht="14.25" hidden="false" customHeight="false" outlineLevel="0" collapsed="false">
      <c r="B171" s="2" t="s">
        <v>60</v>
      </c>
      <c r="C171" s="0" t="n">
        <v>2</v>
      </c>
      <c r="D171" s="0" t="n">
        <v>15</v>
      </c>
      <c r="E171" s="0" t="n">
        <v>0.9</v>
      </c>
      <c r="F171" s="0" t="n">
        <v>0</v>
      </c>
      <c r="G171" s="0" t="n">
        <f aca="false">IF(C171="","",C171*D171*E171)</f>
        <v>27</v>
      </c>
      <c r="H171" s="0" t="n">
        <f aca="false">H168+$A$126</f>
        <v>427.1</v>
      </c>
      <c r="I171" s="0" t="n">
        <f aca="false">H171+(E171/2)</f>
        <v>427.55</v>
      </c>
      <c r="J171" s="0" t="n">
        <f aca="false">IF(C171="","",G171*I171)</f>
        <v>11543.85</v>
      </c>
      <c r="K171" s="0" t="n">
        <f aca="false">IF(C171="","",G171*I171^2)</f>
        <v>4935573.0675</v>
      </c>
      <c r="L171" s="0" t="n">
        <f aca="false">IF(C171="","",1/12*D171*E171^3*(COS(DEGREES(F171)))^2)</f>
        <v>0.91125</v>
      </c>
      <c r="M171" s="0" t="n">
        <f aca="false">IF(C171="","",1/12*D171*E171^3*(SIN(DEGREES(F171)))^2)</f>
        <v>0</v>
      </c>
      <c r="N171" s="0" t="n">
        <f aca="false">IF(C171="","",L171+M171)</f>
        <v>0.91125</v>
      </c>
    </row>
    <row r="172" customFormat="false" ht="14.25" hidden="false" customHeight="false" outlineLevel="0" collapsed="false">
      <c r="B172" s="2" t="s">
        <v>61</v>
      </c>
      <c r="C172" s="0" t="n">
        <v>2</v>
      </c>
      <c r="D172" s="0" t="n">
        <v>0.9</v>
      </c>
      <c r="E172" s="0" t="n">
        <v>8.1</v>
      </c>
      <c r="F172" s="0" t="n">
        <v>0</v>
      </c>
      <c r="G172" s="0" t="n">
        <f aca="false">IF(C172="","",C172*D172*E172)</f>
        <v>14.58</v>
      </c>
      <c r="H172" s="0" t="n">
        <f aca="false">H169+$A$126</f>
        <v>419</v>
      </c>
      <c r="I172" s="0" t="n">
        <f aca="false">H172+(E172/2)</f>
        <v>423.05</v>
      </c>
      <c r="J172" s="0" t="n">
        <f aca="false">IF(C172="","",G172*I172)</f>
        <v>6168.069</v>
      </c>
      <c r="K172" s="0" t="n">
        <f aca="false">IF(C172="","",G172*I172^2)</f>
        <v>2609401.59045</v>
      </c>
      <c r="L172" s="0" t="n">
        <f aca="false">IF(C172="","",1/12*D172*E172^3*(COS(DEGREES(F172)))^2)</f>
        <v>39.858075</v>
      </c>
      <c r="M172" s="0" t="n">
        <f aca="false">IF(C172="","",1/12*D172*E172^3*(SIN(DEGREES(F172)))^2)</f>
        <v>0</v>
      </c>
      <c r="N172" s="0" t="n">
        <f aca="false">IF(C172="","",L172+M172)</f>
        <v>39.858075</v>
      </c>
    </row>
    <row r="173" customFormat="false" ht="14.25" hidden="false" customHeight="false" outlineLevel="0" collapsed="false">
      <c r="B173" s="0" t="s">
        <v>115</v>
      </c>
      <c r="G173" s="0" t="str">
        <f aca="false">IF(C173="","",C173*D173*E173)</f>
        <v/>
      </c>
      <c r="J173" s="0" t="str">
        <f aca="false">IF(C173="","",G173*I173)</f>
        <v/>
      </c>
      <c r="K173" s="0" t="str">
        <f aca="false">IF(C173="","",G173*I173^2)</f>
        <v/>
      </c>
      <c r="L173" s="0" t="str">
        <f aca="false">IF(C173="","",1/12*D173*E173^3*(COS(DEGREES(F173)))^2)</f>
        <v/>
      </c>
      <c r="M173" s="0" t="str">
        <f aca="false">IF(C173="","",1/12*D173*E173^3*(SIN(DEGREES(F173)))^2)</f>
        <v/>
      </c>
      <c r="N173" s="0" t="str">
        <f aca="false">IF(C173="","",L173+M173)</f>
        <v/>
      </c>
    </row>
    <row r="174" customFormat="false" ht="14.25" hidden="false" customHeight="false" outlineLevel="0" collapsed="false">
      <c r="B174" s="2" t="s">
        <v>60</v>
      </c>
      <c r="C174" s="0" t="n">
        <v>2</v>
      </c>
      <c r="D174" s="0" t="n">
        <v>15</v>
      </c>
      <c r="E174" s="0" t="n">
        <v>0.9</v>
      </c>
      <c r="F174" s="0" t="n">
        <v>0</v>
      </c>
      <c r="G174" s="0" t="n">
        <f aca="false">IF(C174="","",C174*D174*E174)</f>
        <v>27</v>
      </c>
      <c r="H174" s="0" t="n">
        <f aca="false">H171+$A$126</f>
        <v>488.1</v>
      </c>
      <c r="I174" s="0" t="n">
        <f aca="false">H174+(E174/2)</f>
        <v>488.55</v>
      </c>
      <c r="J174" s="0" t="n">
        <f aca="false">IF(C174="","",G174*I174)</f>
        <v>13190.85</v>
      </c>
      <c r="K174" s="0" t="n">
        <f aca="false">IF(C174="","",G174*I174^2)</f>
        <v>6444389.7675</v>
      </c>
      <c r="L174" s="0" t="n">
        <f aca="false">IF(C174="","",1/12*D174*E174^3*(COS(DEGREES(F174)))^2)</f>
        <v>0.91125</v>
      </c>
      <c r="M174" s="0" t="n">
        <f aca="false">IF(C174="","",1/12*D174*E174^3*(SIN(DEGREES(F174)))^2)</f>
        <v>0</v>
      </c>
      <c r="N174" s="0" t="n">
        <f aca="false">IF(C174="","",L174+M174)</f>
        <v>0.91125</v>
      </c>
    </row>
    <row r="175" customFormat="false" ht="14.25" hidden="false" customHeight="false" outlineLevel="0" collapsed="false">
      <c r="B175" s="2" t="s">
        <v>61</v>
      </c>
      <c r="C175" s="0" t="n">
        <v>2</v>
      </c>
      <c r="D175" s="0" t="n">
        <v>0.9</v>
      </c>
      <c r="E175" s="0" t="n">
        <v>8.1</v>
      </c>
      <c r="F175" s="0" t="n">
        <v>0</v>
      </c>
      <c r="G175" s="0" t="n">
        <f aca="false">IF(C175="","",C175*D175*E175)</f>
        <v>14.58</v>
      </c>
      <c r="H175" s="0" t="n">
        <f aca="false">H172+$A$126</f>
        <v>480</v>
      </c>
      <c r="I175" s="0" t="n">
        <f aca="false">H175+(E175/2)</f>
        <v>484.05</v>
      </c>
      <c r="J175" s="0" t="n">
        <f aca="false">IF(C175="","",G175*I175)</f>
        <v>7057.449</v>
      </c>
      <c r="K175" s="0" t="n">
        <f aca="false">IF(C175="","",G175*I175^2)</f>
        <v>3416158.18845</v>
      </c>
      <c r="L175" s="0" t="n">
        <f aca="false">IF(C175="","",1/12*D175*E175^3*(COS(DEGREES(F175)))^2)</f>
        <v>39.858075</v>
      </c>
      <c r="M175" s="0" t="n">
        <f aca="false">IF(C175="","",1/12*D175*E175^3*(SIN(DEGREES(F175)))^2)</f>
        <v>0</v>
      </c>
      <c r="N175" s="0" t="n">
        <f aca="false">IF(C175="","",L175+M175)</f>
        <v>39.858075</v>
      </c>
    </row>
    <row r="176" customFormat="false" ht="14.25" hidden="false" customHeight="false" outlineLevel="0" collapsed="false">
      <c r="B176" s="0" t="s">
        <v>116</v>
      </c>
      <c r="G176" s="0" t="str">
        <f aca="false">IF(C176="","",C176*D176*E176)</f>
        <v/>
      </c>
      <c r="J176" s="0" t="str">
        <f aca="false">IF(C176="","",G176*I176)</f>
        <v/>
      </c>
      <c r="K176" s="0" t="str">
        <f aca="false">IF(C176="","",G176*I176^2)</f>
        <v/>
      </c>
      <c r="L176" s="0" t="str">
        <f aca="false">IF(C176="","",1/12*D176*E176^3*(COS(DEGREES(F176)))^2)</f>
        <v/>
      </c>
      <c r="M176" s="0" t="str">
        <f aca="false">IF(C176="","",1/12*D176*E176^3*(SIN(DEGREES(F176)))^2)</f>
        <v/>
      </c>
      <c r="N176" s="0" t="str">
        <f aca="false">IF(C176="","",L176+M176)</f>
        <v/>
      </c>
    </row>
    <row r="177" customFormat="false" ht="14.25" hidden="false" customHeight="false" outlineLevel="0" collapsed="false">
      <c r="B177" s="2" t="s">
        <v>60</v>
      </c>
      <c r="C177" s="0" t="n">
        <v>2</v>
      </c>
      <c r="D177" s="0" t="n">
        <v>15</v>
      </c>
      <c r="E177" s="0" t="n">
        <v>0.9</v>
      </c>
      <c r="F177" s="0" t="n">
        <v>0</v>
      </c>
      <c r="G177" s="0" t="n">
        <f aca="false">IF(C177="","",C177*D177*E177)</f>
        <v>27</v>
      </c>
      <c r="H177" s="0" t="n">
        <f aca="false">H174+$A$126</f>
        <v>549.1</v>
      </c>
      <c r="I177" s="0" t="n">
        <f aca="false">H177+(E177/2)</f>
        <v>549.55</v>
      </c>
      <c r="J177" s="0" t="n">
        <f aca="false">IF(C177="","",G177*I177)</f>
        <v>14837.85</v>
      </c>
      <c r="K177" s="0" t="n">
        <f aca="false">IF(C177="","",G177*I177^2)</f>
        <v>8154140.4675</v>
      </c>
      <c r="L177" s="0" t="n">
        <f aca="false">IF(C177="","",1/12*D177*E177^3*(COS(DEGREES(F177)))^2)</f>
        <v>0.91125</v>
      </c>
      <c r="M177" s="0" t="n">
        <f aca="false">IF(C177="","",1/12*D177*E177^3*(SIN(DEGREES(F177)))^2)</f>
        <v>0</v>
      </c>
      <c r="N177" s="0" t="n">
        <f aca="false">IF(C177="","",L177+M177)</f>
        <v>0.91125</v>
      </c>
    </row>
    <row r="178" customFormat="false" ht="14.25" hidden="false" customHeight="false" outlineLevel="0" collapsed="false">
      <c r="B178" s="2" t="s">
        <v>61</v>
      </c>
      <c r="C178" s="0" t="n">
        <v>2</v>
      </c>
      <c r="D178" s="0" t="n">
        <v>0.9</v>
      </c>
      <c r="E178" s="0" t="n">
        <v>8.1</v>
      </c>
      <c r="F178" s="0" t="n">
        <v>0</v>
      </c>
      <c r="G178" s="0" t="n">
        <f aca="false">IF(C178="","",C178*D178*E178)</f>
        <v>14.58</v>
      </c>
      <c r="H178" s="0" t="n">
        <f aca="false">H175+$A$126</f>
        <v>541</v>
      </c>
      <c r="I178" s="0" t="n">
        <f aca="false">H178+(E178/2)</f>
        <v>545.05</v>
      </c>
      <c r="J178" s="0" t="n">
        <f aca="false">IF(C178="","",G178*I178)</f>
        <v>7946.829</v>
      </c>
      <c r="K178" s="0" t="n">
        <f aca="false">IF(C178="","",G178*I178^2)</f>
        <v>4331419.14645</v>
      </c>
      <c r="L178" s="0" t="n">
        <f aca="false">IF(C178="","",1/12*D178*E178^3*(COS(DEGREES(F178)))^2)</f>
        <v>39.858075</v>
      </c>
      <c r="M178" s="0" t="n">
        <f aca="false">IF(C178="","",1/12*D178*E178^3*(SIN(DEGREES(F178)))^2)</f>
        <v>0</v>
      </c>
      <c r="N178" s="0" t="n">
        <f aca="false">IF(C178="","",L178+M178)</f>
        <v>39.858075</v>
      </c>
    </row>
    <row r="179" customFormat="false" ht="14.25" hidden="false" customHeight="false" outlineLevel="0" collapsed="false">
      <c r="B179" s="2"/>
      <c r="G179" s="0" t="str">
        <f aca="false">IF(C179="","",C179*D179*E179)</f>
        <v/>
      </c>
      <c r="J179" s="0" t="str">
        <f aca="false">IF(C179="","",G179*I179)</f>
        <v/>
      </c>
      <c r="K179" s="0" t="str">
        <f aca="false">IF(C179="","",G179*I179^2)</f>
        <v/>
      </c>
      <c r="L179" s="0" t="str">
        <f aca="false">IF(C179="","",1/12*D179*E179^3*(COS(DEGREES(F179)))^2)</f>
        <v/>
      </c>
      <c r="M179" s="0" t="str">
        <f aca="false">IF(C179="","",1/12*D179*E179^3*(SIN(DEGREES(F179)))^2)</f>
        <v/>
      </c>
      <c r="N179" s="0" t="str">
        <f aca="false">IF(C179="","",L179+M179)</f>
        <v/>
      </c>
    </row>
    <row r="180" customFormat="false" ht="14.25" hidden="false" customHeight="false" outlineLevel="0" collapsed="false">
      <c r="B180" s="2" t="s">
        <v>117</v>
      </c>
      <c r="G180" s="0" t="str">
        <f aca="false">IF(C180="","",C180*D180*E180)</f>
        <v/>
      </c>
      <c r="J180" s="0" t="str">
        <f aca="false">IF(C180="","",G180*I180)</f>
        <v/>
      </c>
      <c r="K180" s="0" t="str">
        <f aca="false">IF(C180="","",G180*I180^2)</f>
        <v/>
      </c>
      <c r="L180" s="0" t="str">
        <f aca="false">IF(C180="","",1/12*D180*E180^3*(COS(DEGREES(F180)))^2)</f>
        <v/>
      </c>
      <c r="M180" s="0" t="str">
        <f aca="false">IF(C180="","",1/12*D180*E180^3*(SIN(DEGREES(F180)))^2)</f>
        <v/>
      </c>
      <c r="N180" s="0" t="str">
        <f aca="false">IF(C180="","",L180+M180)</f>
        <v/>
      </c>
    </row>
    <row r="181" customFormat="false" ht="14.25" hidden="false" customHeight="false" outlineLevel="0" collapsed="false">
      <c r="B181" s="2" t="s">
        <v>60</v>
      </c>
      <c r="C181" s="0" t="n">
        <v>2</v>
      </c>
      <c r="D181" s="0" t="n">
        <v>1</v>
      </c>
      <c r="E181" s="0" t="n">
        <v>550</v>
      </c>
      <c r="F181" s="0" t="n">
        <v>0</v>
      </c>
      <c r="G181" s="0" t="n">
        <f aca="false">IF(C181="","",C181*D181*E181)</f>
        <v>1100</v>
      </c>
      <c r="H181" s="0" t="n">
        <v>28.1</v>
      </c>
      <c r="I181" s="0" t="n">
        <f aca="false">H181+(E181/2)</f>
        <v>303.1</v>
      </c>
      <c r="J181" s="0" t="n">
        <f aca="false">IF(C181="","",G181*I181)</f>
        <v>333410</v>
      </c>
      <c r="K181" s="0" t="n">
        <f aca="false">IF(C181="","",G181*I181^2)</f>
        <v>101056571</v>
      </c>
      <c r="L181" s="0" t="n">
        <f aca="false">IF(C181="","",1/12*D181*E181^3*(COS(DEGREES(F181)))^2)</f>
        <v>13864583.3333333</v>
      </c>
      <c r="M181" s="0" t="n">
        <f aca="false">IF(C181="","",1/12*D181*E181^3*(SIN(DEGREES(F181)))^2)</f>
        <v>0</v>
      </c>
      <c r="N181" s="0" t="n">
        <f aca="false">IF(C181="","",L181+M181)</f>
        <v>13864583.3333333</v>
      </c>
    </row>
    <row r="182" customFormat="false" ht="14.25" hidden="false" customHeight="false" outlineLevel="0" collapsed="false">
      <c r="B182" s="2" t="s">
        <v>61</v>
      </c>
      <c r="C182" s="0" t="n">
        <v>2</v>
      </c>
      <c r="D182" s="0" t="n">
        <v>12.5</v>
      </c>
      <c r="E182" s="0" t="n">
        <v>550</v>
      </c>
      <c r="F182" s="0" t="n">
        <v>0</v>
      </c>
      <c r="G182" s="0" t="n">
        <f aca="false">IF(C182="","",C182*D182*E182)</f>
        <v>13750</v>
      </c>
      <c r="H182" s="0" t="n">
        <v>28.1</v>
      </c>
      <c r="I182" s="0" t="n">
        <f aca="false">H182+(E182/2)</f>
        <v>303.1</v>
      </c>
      <c r="J182" s="0" t="n">
        <f aca="false">IF(C182="","",G182*I182)</f>
        <v>4167625</v>
      </c>
      <c r="K182" s="0" t="n">
        <f aca="false">IF(C182="","",G182*I182^2)</f>
        <v>1263207137.5</v>
      </c>
      <c r="L182" s="0" t="n">
        <f aca="false">IF(C182="","",1/12*D182*E182^3*(COS(DEGREES(F182)))^2)</f>
        <v>173307291.666667</v>
      </c>
      <c r="M182" s="0" t="n">
        <f aca="false">IF(C182="","",1/12*D182*E182^3*(SIN(DEGREES(F182)))^2)</f>
        <v>0</v>
      </c>
      <c r="N182" s="0" t="n">
        <f aca="false">IF(C182="","",L182+M182)</f>
        <v>173307291.666667</v>
      </c>
    </row>
    <row r="183" customFormat="false" ht="14.25" hidden="false" customHeight="false" outlineLevel="0" collapsed="false">
      <c r="B183" s="2"/>
      <c r="G183" s="0" t="str">
        <f aca="false">IF(C183="","",C183*D183*E183)</f>
        <v/>
      </c>
      <c r="J183" s="0" t="str">
        <f aca="false">IF(C183="","",G183*I183)</f>
        <v/>
      </c>
      <c r="K183" s="0" t="str">
        <f aca="false">IF(C183="","",G183*I183^2)</f>
        <v/>
      </c>
      <c r="L183" s="0" t="str">
        <f aca="false">IF(C183="","",1/12*D183*E183^3*(COS(DEGREES(F183)))^2)</f>
        <v/>
      </c>
      <c r="M183" s="0" t="str">
        <f aca="false">IF(C183="","",1/12*D183*E183^3*(SIN(DEGREES(F183)))^2)</f>
        <v/>
      </c>
      <c r="N183" s="0" t="str">
        <f aca="false">IF(C183="","",L183+M183)</f>
        <v/>
      </c>
    </row>
    <row r="184" customFormat="false" ht="14.25" hidden="false" customHeight="false" outlineLevel="0" collapsed="false">
      <c r="B184" s="0" t="s">
        <v>118</v>
      </c>
      <c r="G184" s="0" t="str">
        <f aca="false">IF(C184="","",C184*D184*E184)</f>
        <v/>
      </c>
      <c r="J184" s="0" t="str">
        <f aca="false">IF(C184="","",G184*I184)</f>
        <v/>
      </c>
      <c r="K184" s="0" t="str">
        <f aca="false">IF(C184="","",G184*I184^2)</f>
        <v/>
      </c>
      <c r="L184" s="0" t="str">
        <f aca="false">IF(C184="","",1/12*D184*E184^3*(COS(DEGREES(F184)))^2)</f>
        <v/>
      </c>
      <c r="M184" s="0" t="str">
        <f aca="false">IF(C184="","",1/12*D184*E184^3*(SIN(DEGREES(F184)))^2)</f>
        <v/>
      </c>
      <c r="N184" s="0" t="str">
        <f aca="false">IF(C184="","",L184+M184)</f>
        <v/>
      </c>
    </row>
    <row r="185" customFormat="false" ht="14.25" hidden="false" customHeight="false" outlineLevel="0" collapsed="false">
      <c r="B185" s="2" t="s">
        <v>60</v>
      </c>
      <c r="C185" s="0" t="n">
        <v>2</v>
      </c>
      <c r="D185" s="0" t="n">
        <v>15</v>
      </c>
      <c r="E185" s="0" t="n">
        <v>0.9</v>
      </c>
      <c r="F185" s="0" t="n">
        <v>0</v>
      </c>
      <c r="G185" s="0" t="n">
        <f aca="false">IF(C185="","",C185*D185*E185)</f>
        <v>27</v>
      </c>
      <c r="H185" s="0" t="n">
        <f aca="false">61-E185</f>
        <v>60.1</v>
      </c>
      <c r="I185" s="0" t="n">
        <f aca="false">H185+(E185/2)</f>
        <v>60.55</v>
      </c>
      <c r="J185" s="0" t="n">
        <f aca="false">IF(C185="","",G185*I185)</f>
        <v>1634.85</v>
      </c>
      <c r="K185" s="0" t="n">
        <f aca="false">IF(C185="","",G185*I185^2)</f>
        <v>98990.1675</v>
      </c>
      <c r="L185" s="0" t="n">
        <f aca="false">IF(C185="","",1/12*D185*E185^3*(COS(DEGREES(F185)))^2)</f>
        <v>0.91125</v>
      </c>
      <c r="M185" s="0" t="n">
        <f aca="false">IF(C185="","",1/12*D185*E185^3*(SIN(DEGREES(F185)))^2)</f>
        <v>0</v>
      </c>
      <c r="N185" s="0" t="n">
        <f aca="false">IF(C185="","",L185+M185)</f>
        <v>0.91125</v>
      </c>
    </row>
    <row r="186" customFormat="false" ht="14.25" hidden="false" customHeight="false" outlineLevel="0" collapsed="false">
      <c r="B186" s="2" t="s">
        <v>61</v>
      </c>
      <c r="C186" s="0" t="n">
        <v>2</v>
      </c>
      <c r="D186" s="0" t="n">
        <v>0.9</v>
      </c>
      <c r="E186" s="0" t="n">
        <v>8.1</v>
      </c>
      <c r="F186" s="0" t="n">
        <v>0</v>
      </c>
      <c r="G186" s="0" t="n">
        <f aca="false">IF(C186="","",C186*D186*E186)</f>
        <v>14.58</v>
      </c>
      <c r="H186" s="0" t="n">
        <f aca="false">H185-E186</f>
        <v>52</v>
      </c>
      <c r="I186" s="0" t="n">
        <f aca="false">H186+(E186/2)</f>
        <v>56.05</v>
      </c>
      <c r="J186" s="0" t="n">
        <f aca="false">IF(C186="","",G186*I186)</f>
        <v>817.209</v>
      </c>
      <c r="K186" s="0" t="n">
        <f aca="false">IF(C186="","",G186*I186^2)</f>
        <v>45804.56445</v>
      </c>
      <c r="L186" s="0" t="n">
        <f aca="false">IF(C186="","",1/12*D186*E186^3*(COS(DEGREES(F186)))^2)</f>
        <v>39.858075</v>
      </c>
      <c r="M186" s="0" t="n">
        <f aca="false">IF(C186="","",1/12*D186*E186^3*(SIN(DEGREES(F186)))^2)</f>
        <v>0</v>
      </c>
      <c r="N186" s="0" t="n">
        <f aca="false">IF(C186="","",L186+M186)</f>
        <v>39.858075</v>
      </c>
    </row>
    <row r="187" customFormat="false" ht="14.25" hidden="false" customHeight="false" outlineLevel="0" collapsed="false">
      <c r="B187" s="0" t="s">
        <v>119</v>
      </c>
      <c r="G187" s="0" t="str">
        <f aca="false">IF(C187="","",C187*D187*E187)</f>
        <v/>
      </c>
      <c r="J187" s="0" t="str">
        <f aca="false">IF(C187="","",G187*I187)</f>
        <v/>
      </c>
      <c r="K187" s="0" t="str">
        <f aca="false">IF(C187="","",G187*I187^2)</f>
        <v/>
      </c>
      <c r="L187" s="0" t="str">
        <f aca="false">IF(C187="","",1/12*D187*E187^3*(COS(DEGREES(F187)))^2)</f>
        <v/>
      </c>
      <c r="M187" s="0" t="str">
        <f aca="false">IF(C187="","",1/12*D187*E187^3*(SIN(DEGREES(F187)))^2)</f>
        <v/>
      </c>
      <c r="N187" s="0" t="str">
        <f aca="false">IF(C187="","",L187+M187)</f>
        <v/>
      </c>
    </row>
    <row r="188" customFormat="false" ht="14.25" hidden="false" customHeight="false" outlineLevel="0" collapsed="false">
      <c r="B188" s="2" t="s">
        <v>60</v>
      </c>
      <c r="C188" s="0" t="n">
        <v>2</v>
      </c>
      <c r="D188" s="0" t="n">
        <v>15</v>
      </c>
      <c r="E188" s="0" t="n">
        <v>0.9</v>
      </c>
      <c r="F188" s="0" t="n">
        <v>0</v>
      </c>
      <c r="G188" s="0" t="n">
        <f aca="false">IF(C188="","",C188*D188*E188)</f>
        <v>27</v>
      </c>
      <c r="H188" s="0" t="n">
        <f aca="false">H185+62</f>
        <v>122.1</v>
      </c>
      <c r="I188" s="0" t="n">
        <f aca="false">H188+(E188/2)</f>
        <v>122.55</v>
      </c>
      <c r="J188" s="0" t="n">
        <f aca="false">IF(C188="","",G188*I188)</f>
        <v>3308.85</v>
      </c>
      <c r="K188" s="0" t="n">
        <f aca="false">IF(C188="","",G188*I188^2)</f>
        <v>405499.5675</v>
      </c>
      <c r="L188" s="0" t="n">
        <f aca="false">IF(C188="","",1/12*D188*E188^3*(COS(DEGREES(F188)))^2)</f>
        <v>0.91125</v>
      </c>
      <c r="M188" s="0" t="n">
        <f aca="false">IF(C188="","",1/12*D188*E188^3*(SIN(DEGREES(F188)))^2)</f>
        <v>0</v>
      </c>
      <c r="N188" s="0" t="n">
        <f aca="false">IF(C188="","",L188+M188)</f>
        <v>0.91125</v>
      </c>
    </row>
    <row r="189" customFormat="false" ht="14.25" hidden="false" customHeight="false" outlineLevel="0" collapsed="false">
      <c r="B189" s="2" t="s">
        <v>61</v>
      </c>
      <c r="C189" s="0" t="n">
        <v>2</v>
      </c>
      <c r="D189" s="0" t="n">
        <v>0.9</v>
      </c>
      <c r="E189" s="0" t="n">
        <v>8.1</v>
      </c>
      <c r="F189" s="0" t="n">
        <v>0</v>
      </c>
      <c r="G189" s="0" t="n">
        <f aca="false">IF(C189="","",C189*D189*E189)</f>
        <v>14.58</v>
      </c>
      <c r="H189" s="0" t="n">
        <f aca="false">H186+62</f>
        <v>114</v>
      </c>
      <c r="I189" s="0" t="n">
        <f aca="false">H189+(E189/2)</f>
        <v>118.05</v>
      </c>
      <c r="J189" s="0" t="n">
        <f aca="false">IF(C189="","",G189*I189)</f>
        <v>1721.169</v>
      </c>
      <c r="K189" s="0" t="n">
        <f aca="false">IF(C189="","",G189*I189^2)</f>
        <v>203184.00045</v>
      </c>
      <c r="L189" s="0" t="n">
        <f aca="false">IF(C189="","",1/12*D189*E189^3*(COS(DEGREES(F189)))^2)</f>
        <v>39.858075</v>
      </c>
      <c r="M189" s="0" t="n">
        <f aca="false">IF(C189="","",1/12*D189*E189^3*(SIN(DEGREES(F189)))^2)</f>
        <v>0</v>
      </c>
      <c r="N189" s="0" t="n">
        <f aca="false">IF(C189="","",L189+M189)</f>
        <v>39.858075</v>
      </c>
    </row>
    <row r="190" customFormat="false" ht="14.25" hidden="false" customHeight="false" outlineLevel="0" collapsed="false">
      <c r="B190" s="0" t="s">
        <v>120</v>
      </c>
      <c r="G190" s="0" t="str">
        <f aca="false">IF(C190="","",C190*D190*E190)</f>
        <v/>
      </c>
      <c r="J190" s="0" t="str">
        <f aca="false">IF(C190="","",G190*I190)</f>
        <v/>
      </c>
      <c r="K190" s="0" t="str">
        <f aca="false">IF(C190="","",G190*I190^2)</f>
        <v/>
      </c>
      <c r="L190" s="0" t="str">
        <f aca="false">IF(C190="","",1/12*D190*E190^3*(COS(DEGREES(F190)))^2)</f>
        <v/>
      </c>
      <c r="M190" s="0" t="str">
        <f aca="false">IF(C190="","",1/12*D190*E190^3*(SIN(DEGREES(F190)))^2)</f>
        <v/>
      </c>
      <c r="N190" s="0" t="str">
        <f aca="false">IF(C190="","",L190+M190)</f>
        <v/>
      </c>
    </row>
    <row r="191" customFormat="false" ht="14.25" hidden="false" customHeight="false" outlineLevel="0" collapsed="false">
      <c r="B191" s="2" t="s">
        <v>60</v>
      </c>
      <c r="C191" s="0" t="n">
        <v>2</v>
      </c>
      <c r="D191" s="0" t="n">
        <v>15</v>
      </c>
      <c r="E191" s="0" t="n">
        <v>0.9</v>
      </c>
      <c r="F191" s="0" t="n">
        <v>0</v>
      </c>
      <c r="G191" s="0" t="n">
        <f aca="false">IF(C191="","",C191*D191*E191)</f>
        <v>27</v>
      </c>
      <c r="H191" s="0" t="n">
        <f aca="false">H188+$A$126</f>
        <v>183.1</v>
      </c>
      <c r="I191" s="0" t="n">
        <f aca="false">H191+(E191/2)</f>
        <v>183.55</v>
      </c>
      <c r="J191" s="0" t="n">
        <f aca="false">IF(C191="","",G191*I191)</f>
        <v>4955.85</v>
      </c>
      <c r="K191" s="0" t="n">
        <f aca="false">IF(C191="","",G191*I191^2)</f>
        <v>909646.2675</v>
      </c>
      <c r="L191" s="0" t="n">
        <f aca="false">IF(C191="","",1/12*D191*E191^3*(COS(DEGREES(F191)))^2)</f>
        <v>0.91125</v>
      </c>
      <c r="M191" s="0" t="n">
        <f aca="false">IF(C191="","",1/12*D191*E191^3*(SIN(DEGREES(F191)))^2)</f>
        <v>0</v>
      </c>
      <c r="N191" s="0" t="n">
        <f aca="false">IF(C191="","",L191+M191)</f>
        <v>0.91125</v>
      </c>
    </row>
    <row r="192" customFormat="false" ht="14.25" hidden="false" customHeight="false" outlineLevel="0" collapsed="false">
      <c r="B192" s="2" t="s">
        <v>61</v>
      </c>
      <c r="C192" s="0" t="n">
        <v>2</v>
      </c>
      <c r="D192" s="0" t="n">
        <v>0.9</v>
      </c>
      <c r="E192" s="0" t="n">
        <v>8.1</v>
      </c>
      <c r="F192" s="0" t="n">
        <v>0</v>
      </c>
      <c r="G192" s="0" t="n">
        <f aca="false">IF(C192="","",C192*D192*E192)</f>
        <v>14.58</v>
      </c>
      <c r="H192" s="0" t="n">
        <f aca="false">H189+$A$126</f>
        <v>175</v>
      </c>
      <c r="I192" s="0" t="n">
        <f aca="false">H192+(E192/2)</f>
        <v>179.05</v>
      </c>
      <c r="J192" s="0" t="n">
        <f aca="false">IF(C192="","",G192*I192)</f>
        <v>2610.549</v>
      </c>
      <c r="K192" s="0" t="n">
        <f aca="false">IF(C192="","",G192*I192^2)</f>
        <v>467418.79845</v>
      </c>
      <c r="L192" s="0" t="n">
        <f aca="false">IF(C192="","",1/12*D192*E192^3*(COS(DEGREES(F192)))^2)</f>
        <v>39.858075</v>
      </c>
      <c r="M192" s="0" t="n">
        <f aca="false">IF(C192="","",1/12*D192*E192^3*(SIN(DEGREES(F192)))^2)</f>
        <v>0</v>
      </c>
      <c r="N192" s="0" t="n">
        <f aca="false">IF(C192="","",L192+M192)</f>
        <v>39.858075</v>
      </c>
    </row>
    <row r="193" customFormat="false" ht="14.25" hidden="false" customHeight="false" outlineLevel="0" collapsed="false">
      <c r="B193" s="0" t="s">
        <v>121</v>
      </c>
      <c r="G193" s="0" t="str">
        <f aca="false">IF(C193="","",C193*D193*E193)</f>
        <v/>
      </c>
      <c r="J193" s="0" t="str">
        <f aca="false">IF(C193="","",G193*I193)</f>
        <v/>
      </c>
      <c r="K193" s="0" t="str">
        <f aca="false">IF(C193="","",G193*I193^2)</f>
        <v/>
      </c>
      <c r="L193" s="0" t="str">
        <f aca="false">IF(C193="","",1/12*D193*E193^3*(COS(DEGREES(F193)))^2)</f>
        <v/>
      </c>
      <c r="M193" s="0" t="str">
        <f aca="false">IF(C193="","",1/12*D193*E193^3*(SIN(DEGREES(F193)))^2)</f>
        <v/>
      </c>
      <c r="N193" s="0" t="str">
        <f aca="false">IF(C193="","",L193+M193)</f>
        <v/>
      </c>
    </row>
    <row r="194" customFormat="false" ht="14.25" hidden="false" customHeight="false" outlineLevel="0" collapsed="false">
      <c r="B194" s="2" t="s">
        <v>60</v>
      </c>
      <c r="C194" s="0" t="n">
        <v>2</v>
      </c>
      <c r="D194" s="0" t="n">
        <v>15</v>
      </c>
      <c r="E194" s="0" t="n">
        <v>0.9</v>
      </c>
      <c r="F194" s="0" t="n">
        <v>0</v>
      </c>
      <c r="G194" s="0" t="n">
        <f aca="false">IF(C194="","",C194*D194*E194)</f>
        <v>27</v>
      </c>
      <c r="H194" s="0" t="n">
        <f aca="false">H191+$A$126</f>
        <v>244.1</v>
      </c>
      <c r="I194" s="0" t="n">
        <f aca="false">H194+(E194/2)</f>
        <v>244.55</v>
      </c>
      <c r="J194" s="0" t="n">
        <f aca="false">IF(C194="","",G194*I194)</f>
        <v>6602.85</v>
      </c>
      <c r="K194" s="0" t="n">
        <f aca="false">IF(C194="","",G194*I194^2)</f>
        <v>1614726.9675</v>
      </c>
      <c r="L194" s="0" t="n">
        <f aca="false">IF(C194="","",1/12*D194*E194^3*(COS(DEGREES(F194)))^2)</f>
        <v>0.91125</v>
      </c>
      <c r="M194" s="0" t="n">
        <f aca="false">IF(C194="","",1/12*D194*E194^3*(SIN(DEGREES(F194)))^2)</f>
        <v>0</v>
      </c>
      <c r="N194" s="0" t="n">
        <f aca="false">IF(C194="","",L194+M194)</f>
        <v>0.91125</v>
      </c>
    </row>
    <row r="195" customFormat="false" ht="14.25" hidden="false" customHeight="false" outlineLevel="0" collapsed="false">
      <c r="B195" s="2" t="s">
        <v>61</v>
      </c>
      <c r="C195" s="0" t="n">
        <v>2</v>
      </c>
      <c r="D195" s="0" t="n">
        <v>0.9</v>
      </c>
      <c r="E195" s="0" t="n">
        <v>8.1</v>
      </c>
      <c r="F195" s="0" t="n">
        <v>0</v>
      </c>
      <c r="G195" s="0" t="n">
        <f aca="false">IF(C195="","",C195*D195*E195)</f>
        <v>14.58</v>
      </c>
      <c r="H195" s="0" t="n">
        <f aca="false">H192+$A$126</f>
        <v>236</v>
      </c>
      <c r="I195" s="0" t="n">
        <f aca="false">H195+(E195/2)</f>
        <v>240.05</v>
      </c>
      <c r="J195" s="0" t="n">
        <f aca="false">IF(C195="","",G195*I195)</f>
        <v>3499.929</v>
      </c>
      <c r="K195" s="0" t="n">
        <f aca="false">IF(C195="","",G195*I195^2)</f>
        <v>840157.95645</v>
      </c>
      <c r="L195" s="0" t="n">
        <f aca="false">IF(C195="","",1/12*D195*E195^3*(COS(DEGREES(F195)))^2)</f>
        <v>39.858075</v>
      </c>
      <c r="M195" s="0" t="n">
        <f aca="false">IF(C195="","",1/12*D195*E195^3*(SIN(DEGREES(F195)))^2)</f>
        <v>0</v>
      </c>
      <c r="N195" s="0" t="n">
        <f aca="false">IF(C195="","",L195+M195)</f>
        <v>39.858075</v>
      </c>
    </row>
    <row r="196" customFormat="false" ht="14.25" hidden="false" customHeight="false" outlineLevel="0" collapsed="false">
      <c r="B196" s="0" t="s">
        <v>122</v>
      </c>
      <c r="G196" s="0" t="str">
        <f aca="false">IF(C196="","",C196*D196*E196)</f>
        <v/>
      </c>
      <c r="J196" s="0" t="str">
        <f aca="false">IF(C196="","",G196*I196)</f>
        <v/>
      </c>
      <c r="K196" s="0" t="str">
        <f aca="false">IF(C196="","",G196*I196^2)</f>
        <v/>
      </c>
      <c r="L196" s="0" t="str">
        <f aca="false">IF(C196="","",1/12*D196*E196^3*(COS(DEGREES(F196)))^2)</f>
        <v/>
      </c>
      <c r="M196" s="0" t="str">
        <f aca="false">IF(C196="","",1/12*D196*E196^3*(SIN(DEGREES(F196)))^2)</f>
        <v/>
      </c>
      <c r="N196" s="0" t="str">
        <f aca="false">IF(C196="","",L196+M196)</f>
        <v/>
      </c>
    </row>
    <row r="197" customFormat="false" ht="14.25" hidden="false" customHeight="false" outlineLevel="0" collapsed="false">
      <c r="B197" s="2" t="s">
        <v>60</v>
      </c>
      <c r="C197" s="0" t="n">
        <v>2</v>
      </c>
      <c r="D197" s="0" t="n">
        <v>15</v>
      </c>
      <c r="E197" s="0" t="n">
        <v>0.9</v>
      </c>
      <c r="F197" s="0" t="n">
        <v>0</v>
      </c>
      <c r="G197" s="0" t="n">
        <f aca="false">IF(C197="","",C197*D197*E197)</f>
        <v>27</v>
      </c>
      <c r="H197" s="0" t="n">
        <f aca="false">H194+$A$126</f>
        <v>305.1</v>
      </c>
      <c r="I197" s="0" t="n">
        <f aca="false">H197+(E197/2)</f>
        <v>305.55</v>
      </c>
      <c r="J197" s="0" t="n">
        <f aca="false">IF(C197="","",G197*I197)</f>
        <v>8249.85</v>
      </c>
      <c r="K197" s="0" t="n">
        <f aca="false">IF(C197="","",G197*I197^2)</f>
        <v>2520741.6675</v>
      </c>
      <c r="L197" s="0" t="n">
        <f aca="false">IF(C197="","",1/12*D197*E197^3*(COS(DEGREES(F197)))^2)</f>
        <v>0.91125</v>
      </c>
      <c r="M197" s="0" t="n">
        <f aca="false">IF(C197="","",1/12*D197*E197^3*(SIN(DEGREES(F197)))^2)</f>
        <v>0</v>
      </c>
      <c r="N197" s="0" t="n">
        <f aca="false">IF(C197="","",L197+M197)</f>
        <v>0.91125</v>
      </c>
    </row>
    <row r="198" customFormat="false" ht="14.25" hidden="false" customHeight="false" outlineLevel="0" collapsed="false">
      <c r="B198" s="2" t="s">
        <v>61</v>
      </c>
      <c r="C198" s="0" t="n">
        <v>2</v>
      </c>
      <c r="D198" s="0" t="n">
        <v>0.9</v>
      </c>
      <c r="E198" s="0" t="n">
        <v>8.1</v>
      </c>
      <c r="F198" s="0" t="n">
        <v>0</v>
      </c>
      <c r="G198" s="0" t="n">
        <f aca="false">IF(C198="","",C198*D198*E198)</f>
        <v>14.58</v>
      </c>
      <c r="H198" s="0" t="n">
        <f aca="false">H195+$A$126</f>
        <v>297</v>
      </c>
      <c r="I198" s="0" t="n">
        <f aca="false">H198+(E198/2)</f>
        <v>301.05</v>
      </c>
      <c r="J198" s="0" t="n">
        <f aca="false">IF(C198="","",G198*I198)</f>
        <v>4389.309</v>
      </c>
      <c r="K198" s="0" t="n">
        <f aca="false">IF(C198="","",G198*I198^2)</f>
        <v>1321401.47445</v>
      </c>
      <c r="L198" s="0" t="n">
        <f aca="false">IF(C198="","",1/12*D198*E198^3*(COS(DEGREES(F198)))^2)</f>
        <v>39.858075</v>
      </c>
      <c r="M198" s="0" t="n">
        <f aca="false">IF(C198="","",1/12*D198*E198^3*(SIN(DEGREES(F198)))^2)</f>
        <v>0</v>
      </c>
      <c r="N198" s="0" t="n">
        <f aca="false">IF(C198="","",L198+M198)</f>
        <v>39.858075</v>
      </c>
    </row>
    <row r="199" customFormat="false" ht="14.25" hidden="false" customHeight="false" outlineLevel="0" collapsed="false">
      <c r="B199" s="0" t="s">
        <v>123</v>
      </c>
      <c r="G199" s="0" t="str">
        <f aca="false">IF(C199="","",C199*D199*E199)</f>
        <v/>
      </c>
      <c r="J199" s="0" t="str">
        <f aca="false">IF(C199="","",G199*I199)</f>
        <v/>
      </c>
      <c r="K199" s="0" t="str">
        <f aca="false">IF(C199="","",G199*I199^2)</f>
        <v/>
      </c>
      <c r="L199" s="0" t="str">
        <f aca="false">IF(C199="","",1/12*D199*E199^3*(COS(DEGREES(F199)))^2)</f>
        <v/>
      </c>
      <c r="M199" s="0" t="str">
        <f aca="false">IF(C199="","",1/12*D199*E199^3*(SIN(DEGREES(F199)))^2)</f>
        <v/>
      </c>
      <c r="N199" s="0" t="str">
        <f aca="false">IF(C199="","",L199+M199)</f>
        <v/>
      </c>
    </row>
    <row r="200" customFormat="false" ht="14.25" hidden="false" customHeight="false" outlineLevel="0" collapsed="false">
      <c r="B200" s="2" t="s">
        <v>60</v>
      </c>
      <c r="C200" s="0" t="n">
        <v>2</v>
      </c>
      <c r="D200" s="0" t="n">
        <v>15</v>
      </c>
      <c r="E200" s="0" t="n">
        <v>0.9</v>
      </c>
      <c r="F200" s="0" t="n">
        <v>0</v>
      </c>
      <c r="G200" s="0" t="n">
        <f aca="false">IF(C200="","",C200*D200*E200)</f>
        <v>27</v>
      </c>
      <c r="H200" s="0" t="n">
        <f aca="false">H197+$A$126</f>
        <v>366.1</v>
      </c>
      <c r="I200" s="0" t="n">
        <f aca="false">H200+(E200/2)</f>
        <v>366.55</v>
      </c>
      <c r="J200" s="0" t="n">
        <f aca="false">IF(C200="","",G200*I200)</f>
        <v>9896.85</v>
      </c>
      <c r="K200" s="0" t="n">
        <f aca="false">IF(C200="","",G200*I200^2)</f>
        <v>3627690.3675</v>
      </c>
      <c r="L200" s="0" t="n">
        <f aca="false">IF(C200="","",1/12*D200*E200^3*(COS(DEGREES(F200)))^2)</f>
        <v>0.91125</v>
      </c>
      <c r="M200" s="0" t="n">
        <f aca="false">IF(C200="","",1/12*D200*E200^3*(SIN(DEGREES(F200)))^2)</f>
        <v>0</v>
      </c>
      <c r="N200" s="0" t="n">
        <f aca="false">IF(C200="","",L200+M200)</f>
        <v>0.91125</v>
      </c>
    </row>
    <row r="201" customFormat="false" ht="14.25" hidden="false" customHeight="false" outlineLevel="0" collapsed="false">
      <c r="B201" s="2" t="s">
        <v>61</v>
      </c>
      <c r="C201" s="0" t="n">
        <v>2</v>
      </c>
      <c r="D201" s="0" t="n">
        <v>0.9</v>
      </c>
      <c r="E201" s="0" t="n">
        <v>8.1</v>
      </c>
      <c r="F201" s="0" t="n">
        <v>0</v>
      </c>
      <c r="G201" s="0" t="n">
        <f aca="false">IF(C201="","",C201*D201*E201)</f>
        <v>14.58</v>
      </c>
      <c r="H201" s="0" t="n">
        <f aca="false">H198+$A$126</f>
        <v>358</v>
      </c>
      <c r="I201" s="0" t="n">
        <f aca="false">H201+(E201/2)</f>
        <v>362.05</v>
      </c>
      <c r="J201" s="0" t="n">
        <f aca="false">IF(C201="","",G201*I201)</f>
        <v>5278.689</v>
      </c>
      <c r="K201" s="0" t="n">
        <f aca="false">IF(C201="","",G201*I201^2)</f>
        <v>1911149.35245</v>
      </c>
      <c r="L201" s="0" t="n">
        <f aca="false">IF(C201="","",1/12*D201*E201^3*(COS(DEGREES(F201)))^2)</f>
        <v>39.858075</v>
      </c>
      <c r="M201" s="0" t="n">
        <f aca="false">IF(C201="","",1/12*D201*E201^3*(SIN(DEGREES(F201)))^2)</f>
        <v>0</v>
      </c>
      <c r="N201" s="0" t="n">
        <f aca="false">IF(C201="","",L201+M201)</f>
        <v>39.858075</v>
      </c>
    </row>
    <row r="202" customFormat="false" ht="14.25" hidden="false" customHeight="false" outlineLevel="0" collapsed="false">
      <c r="B202" s="0" t="s">
        <v>124</v>
      </c>
      <c r="G202" s="0" t="str">
        <f aca="false">IF(C202="","",C202*D202*E202)</f>
        <v/>
      </c>
      <c r="J202" s="0" t="str">
        <f aca="false">IF(C202="","",G202*I202)</f>
        <v/>
      </c>
      <c r="K202" s="0" t="str">
        <f aca="false">IF(C202="","",G202*I202^2)</f>
        <v/>
      </c>
      <c r="L202" s="0" t="str">
        <f aca="false">IF(C202="","",1/12*D202*E202^3*(COS(DEGREES(F202)))^2)</f>
        <v/>
      </c>
      <c r="M202" s="0" t="str">
        <f aca="false">IF(C202="","",1/12*D202*E202^3*(SIN(DEGREES(F202)))^2)</f>
        <v/>
      </c>
      <c r="N202" s="0" t="str">
        <f aca="false">IF(C202="","",L202+M202)</f>
        <v/>
      </c>
    </row>
    <row r="203" customFormat="false" ht="14.25" hidden="false" customHeight="false" outlineLevel="0" collapsed="false">
      <c r="B203" s="2" t="s">
        <v>60</v>
      </c>
      <c r="C203" s="0" t="n">
        <v>2</v>
      </c>
      <c r="D203" s="0" t="n">
        <v>15</v>
      </c>
      <c r="E203" s="0" t="n">
        <v>0.9</v>
      </c>
      <c r="F203" s="0" t="n">
        <v>0</v>
      </c>
      <c r="G203" s="0" t="n">
        <f aca="false">IF(C203="","",C203*D203*E203)</f>
        <v>27</v>
      </c>
      <c r="H203" s="0" t="n">
        <f aca="false">H200+$A$126</f>
        <v>427.1</v>
      </c>
      <c r="I203" s="0" t="n">
        <f aca="false">H203+(E203/2)</f>
        <v>427.55</v>
      </c>
      <c r="J203" s="0" t="n">
        <f aca="false">IF(C203="","",G203*I203)</f>
        <v>11543.85</v>
      </c>
      <c r="K203" s="0" t="n">
        <f aca="false">IF(C203="","",G203*I203^2)</f>
        <v>4935573.0675</v>
      </c>
      <c r="L203" s="0" t="n">
        <f aca="false">IF(C203="","",1/12*D203*E203^3*(COS(DEGREES(F203)))^2)</f>
        <v>0.91125</v>
      </c>
      <c r="M203" s="0" t="n">
        <f aca="false">IF(C203="","",1/12*D203*E203^3*(SIN(DEGREES(F203)))^2)</f>
        <v>0</v>
      </c>
      <c r="N203" s="0" t="n">
        <f aca="false">IF(C203="","",L203+M203)</f>
        <v>0.91125</v>
      </c>
    </row>
    <row r="204" customFormat="false" ht="14.25" hidden="false" customHeight="false" outlineLevel="0" collapsed="false">
      <c r="B204" s="2" t="s">
        <v>61</v>
      </c>
      <c r="C204" s="0" t="n">
        <v>2</v>
      </c>
      <c r="D204" s="0" t="n">
        <v>0.9</v>
      </c>
      <c r="E204" s="0" t="n">
        <v>8.1</v>
      </c>
      <c r="F204" s="0" t="n">
        <v>0</v>
      </c>
      <c r="G204" s="0" t="n">
        <f aca="false">IF(C204="","",C204*D204*E204)</f>
        <v>14.58</v>
      </c>
      <c r="H204" s="0" t="n">
        <f aca="false">H201+$A$126</f>
        <v>419</v>
      </c>
      <c r="I204" s="0" t="n">
        <f aca="false">H204+(E204/2)</f>
        <v>423.05</v>
      </c>
      <c r="J204" s="0" t="n">
        <f aca="false">IF(C204="","",G204*I204)</f>
        <v>6168.069</v>
      </c>
      <c r="K204" s="0" t="n">
        <f aca="false">IF(C204="","",G204*I204^2)</f>
        <v>2609401.59045</v>
      </c>
      <c r="L204" s="0" t="n">
        <f aca="false">IF(C204="","",1/12*D204*E204^3*(COS(DEGREES(F204)))^2)</f>
        <v>39.858075</v>
      </c>
      <c r="M204" s="0" t="n">
        <f aca="false">IF(C204="","",1/12*D204*E204^3*(SIN(DEGREES(F204)))^2)</f>
        <v>0</v>
      </c>
      <c r="N204" s="0" t="n">
        <f aca="false">IF(C204="","",L204+M204)</f>
        <v>39.858075</v>
      </c>
    </row>
    <row r="205" customFormat="false" ht="14.25" hidden="false" customHeight="false" outlineLevel="0" collapsed="false">
      <c r="B205" s="0" t="s">
        <v>125</v>
      </c>
      <c r="G205" s="0" t="str">
        <f aca="false">IF(C205="","",C205*D205*E205)</f>
        <v/>
      </c>
      <c r="J205" s="0" t="str">
        <f aca="false">IF(C205="","",G205*I205)</f>
        <v/>
      </c>
      <c r="K205" s="0" t="str">
        <f aca="false">IF(C205="","",G205*I205^2)</f>
        <v/>
      </c>
      <c r="L205" s="0" t="str">
        <f aca="false">IF(C205="","",1/12*D205*E205^3*(COS(DEGREES(F205)))^2)</f>
        <v/>
      </c>
      <c r="M205" s="0" t="str">
        <f aca="false">IF(C205="","",1/12*D205*E205^3*(SIN(DEGREES(F205)))^2)</f>
        <v/>
      </c>
      <c r="N205" s="0" t="str">
        <f aca="false">IF(C205="","",L205+M205)</f>
        <v/>
      </c>
    </row>
    <row r="206" customFormat="false" ht="14.25" hidden="false" customHeight="false" outlineLevel="0" collapsed="false">
      <c r="B206" s="2" t="s">
        <v>60</v>
      </c>
      <c r="C206" s="0" t="n">
        <v>2</v>
      </c>
      <c r="D206" s="0" t="n">
        <v>15</v>
      </c>
      <c r="E206" s="0" t="n">
        <v>0.9</v>
      </c>
      <c r="F206" s="0" t="n">
        <v>0</v>
      </c>
      <c r="G206" s="0" t="n">
        <f aca="false">IF(C206="","",C206*D206*E206)</f>
        <v>27</v>
      </c>
      <c r="H206" s="0" t="n">
        <f aca="false">H203+$A$126</f>
        <v>488.1</v>
      </c>
      <c r="I206" s="0" t="n">
        <f aca="false">H206+(E206/2)</f>
        <v>488.55</v>
      </c>
      <c r="J206" s="0" t="n">
        <f aca="false">IF(C206="","",G206*I206)</f>
        <v>13190.85</v>
      </c>
      <c r="K206" s="0" t="n">
        <f aca="false">IF(C206="","",G206*I206^2)</f>
        <v>6444389.7675</v>
      </c>
      <c r="L206" s="0" t="n">
        <f aca="false">IF(C206="","",1/12*D206*E206^3*(COS(DEGREES(F206)))^2)</f>
        <v>0.91125</v>
      </c>
      <c r="M206" s="0" t="n">
        <f aca="false">IF(C206="","",1/12*D206*E206^3*(SIN(DEGREES(F206)))^2)</f>
        <v>0</v>
      </c>
      <c r="N206" s="0" t="n">
        <f aca="false">IF(C206="","",L206+M206)</f>
        <v>0.91125</v>
      </c>
    </row>
    <row r="207" customFormat="false" ht="14.25" hidden="false" customHeight="false" outlineLevel="0" collapsed="false">
      <c r="B207" s="2" t="s">
        <v>61</v>
      </c>
      <c r="C207" s="0" t="n">
        <v>2</v>
      </c>
      <c r="D207" s="0" t="n">
        <v>0.9</v>
      </c>
      <c r="E207" s="0" t="n">
        <v>8.1</v>
      </c>
      <c r="F207" s="0" t="n">
        <v>0</v>
      </c>
      <c r="G207" s="0" t="n">
        <f aca="false">IF(C207="","",C207*D207*E207)</f>
        <v>14.58</v>
      </c>
      <c r="H207" s="0" t="n">
        <f aca="false">H204+$A$126</f>
        <v>480</v>
      </c>
      <c r="I207" s="0" t="n">
        <f aca="false">H207+(E207/2)</f>
        <v>484.05</v>
      </c>
      <c r="J207" s="0" t="n">
        <f aca="false">IF(C207="","",G207*I207)</f>
        <v>7057.449</v>
      </c>
      <c r="K207" s="0" t="n">
        <f aca="false">IF(C207="","",G207*I207^2)</f>
        <v>3416158.18845</v>
      </c>
      <c r="L207" s="0" t="n">
        <f aca="false">IF(C207="","",1/12*D207*E207^3*(COS(DEGREES(F207)))^2)</f>
        <v>39.858075</v>
      </c>
      <c r="M207" s="0" t="n">
        <f aca="false">IF(C207="","",1/12*D207*E207^3*(SIN(DEGREES(F207)))^2)</f>
        <v>0</v>
      </c>
      <c r="N207" s="0" t="n">
        <f aca="false">IF(C207="","",L207+M207)</f>
        <v>39.858075</v>
      </c>
    </row>
    <row r="208" customFormat="false" ht="14.25" hidden="false" customHeight="false" outlineLevel="0" collapsed="false">
      <c r="B208" s="0" t="s">
        <v>126</v>
      </c>
      <c r="G208" s="0" t="str">
        <f aca="false">IF(C208="","",C208*D208*E208)</f>
        <v/>
      </c>
      <c r="J208" s="0" t="str">
        <f aca="false">IF(C208="","",G208*I208)</f>
        <v/>
      </c>
      <c r="K208" s="0" t="str">
        <f aca="false">IF(C208="","",G208*I208^2)</f>
        <v/>
      </c>
      <c r="L208" s="0" t="str">
        <f aca="false">IF(C208="","",1/12*D208*E208^3*(COS(DEGREES(F208)))^2)</f>
        <v/>
      </c>
      <c r="M208" s="0" t="str">
        <f aca="false">IF(C208="","",1/12*D208*E208^3*(SIN(DEGREES(F208)))^2)</f>
        <v/>
      </c>
      <c r="N208" s="0" t="str">
        <f aca="false">IF(C208="","",L208+M208)</f>
        <v/>
      </c>
    </row>
    <row r="209" customFormat="false" ht="14.25" hidden="false" customHeight="false" outlineLevel="0" collapsed="false">
      <c r="B209" s="2" t="s">
        <v>60</v>
      </c>
      <c r="C209" s="0" t="n">
        <v>2</v>
      </c>
      <c r="D209" s="0" t="n">
        <v>15</v>
      </c>
      <c r="E209" s="0" t="n">
        <v>0.9</v>
      </c>
      <c r="F209" s="0" t="n">
        <v>0</v>
      </c>
      <c r="G209" s="0" t="n">
        <f aca="false">IF(C209="","",C209*D209*E209)</f>
        <v>27</v>
      </c>
      <c r="H209" s="0" t="n">
        <f aca="false">H206+$A$126</f>
        <v>549.1</v>
      </c>
      <c r="I209" s="0" t="n">
        <f aca="false">H209+(E209/2)</f>
        <v>549.55</v>
      </c>
      <c r="J209" s="0" t="n">
        <f aca="false">IF(C209="","",G209*I209)</f>
        <v>14837.85</v>
      </c>
      <c r="K209" s="0" t="n">
        <f aca="false">IF(C209="","",G209*I209^2)</f>
        <v>8154140.4675</v>
      </c>
      <c r="L209" s="0" t="n">
        <f aca="false">IF(C209="","",1/12*D209*E209^3*(COS(DEGREES(F209)))^2)</f>
        <v>0.91125</v>
      </c>
      <c r="M209" s="0" t="n">
        <f aca="false">IF(C209="","",1/12*D209*E209^3*(SIN(DEGREES(F209)))^2)</f>
        <v>0</v>
      </c>
      <c r="N209" s="0" t="n">
        <f aca="false">IF(C209="","",L209+M209)</f>
        <v>0.91125</v>
      </c>
    </row>
    <row r="210" customFormat="false" ht="14.25" hidden="false" customHeight="false" outlineLevel="0" collapsed="false">
      <c r="B210" s="2" t="s">
        <v>61</v>
      </c>
      <c r="C210" s="0" t="n">
        <v>2</v>
      </c>
      <c r="D210" s="0" t="n">
        <v>0.9</v>
      </c>
      <c r="E210" s="0" t="n">
        <v>8.1</v>
      </c>
      <c r="F210" s="0" t="n">
        <v>0</v>
      </c>
      <c r="G210" s="0" t="n">
        <f aca="false">IF(C210="","",C210*D210*E210)</f>
        <v>14.58</v>
      </c>
      <c r="H210" s="0" t="n">
        <f aca="false">H207+$A$126</f>
        <v>541</v>
      </c>
      <c r="I210" s="0" t="n">
        <f aca="false">H210+(E210/2)</f>
        <v>545.05</v>
      </c>
      <c r="J210" s="0" t="n">
        <f aca="false">IF(C210="","",G210*I210)</f>
        <v>7946.829</v>
      </c>
      <c r="K210" s="0" t="n">
        <f aca="false">IF(C210="","",G210*I210^2)</f>
        <v>4331419.14645</v>
      </c>
      <c r="L210" s="0" t="n">
        <f aca="false">IF(C210="","",1/12*D210*E210^3*(COS(DEGREES(F210)))^2)</f>
        <v>39.858075</v>
      </c>
      <c r="M210" s="0" t="n">
        <f aca="false">IF(C210="","",1/12*D210*E210^3*(SIN(DEGREES(F210)))^2)</f>
        <v>0</v>
      </c>
      <c r="N210" s="0" t="n">
        <f aca="false">IF(C210="","",L210+M210)</f>
        <v>39.858075</v>
      </c>
    </row>
    <row r="211" customFormat="false" ht="14.25" hidden="false" customHeight="false" outlineLevel="0" collapsed="false">
      <c r="B211" s="2" t="s">
        <v>127</v>
      </c>
      <c r="G211" s="0" t="str">
        <f aca="false">IF(C211="","",C211*D211*E211)</f>
        <v/>
      </c>
      <c r="J211" s="0" t="str">
        <f aca="false">IF(C211="","",G211*I211)</f>
        <v/>
      </c>
      <c r="K211" s="0" t="str">
        <f aca="false">IF(C211="","",G211*I211^2)</f>
        <v/>
      </c>
      <c r="L211" s="0" t="str">
        <f aca="false">IF(C211="","",1/12*D211*E211^3*(COS(DEGREES(F211)))^2)</f>
        <v/>
      </c>
      <c r="M211" s="0" t="str">
        <f aca="false">IF(C211="","",1/12*D211*E211^3*(SIN(DEGREES(F211)))^2)</f>
        <v/>
      </c>
      <c r="N211" s="0" t="str">
        <f aca="false">IF(C211="","",L211+M211)</f>
        <v/>
      </c>
    </row>
    <row r="212" customFormat="false" ht="14.25" hidden="false" customHeight="false" outlineLevel="0" collapsed="false">
      <c r="B212" s="2" t="s">
        <v>60</v>
      </c>
      <c r="C212" s="0" t="n">
        <v>1</v>
      </c>
      <c r="D212" s="0" t="n">
        <v>1</v>
      </c>
      <c r="E212" s="0" t="n">
        <v>550</v>
      </c>
      <c r="F212" s="0" t="n">
        <v>0</v>
      </c>
      <c r="G212" s="0" t="n">
        <f aca="false">IF(C212="","",C212*D212*E212)</f>
        <v>550</v>
      </c>
      <c r="H212" s="0" t="n">
        <v>28.1</v>
      </c>
      <c r="I212" s="0" t="n">
        <f aca="false">H212+(E212/2)</f>
        <v>303.1</v>
      </c>
      <c r="J212" s="0" t="n">
        <f aca="false">IF(C212="","",G212*I212)</f>
        <v>166705</v>
      </c>
      <c r="K212" s="0" t="n">
        <f aca="false">IF(C212="","",G212*I212^2)</f>
        <v>50528285.5</v>
      </c>
      <c r="L212" s="0" t="n">
        <f aca="false">IF(C212="","",1/12*D212*E212^3*(COS(DEGREES(F212)))^2)</f>
        <v>13864583.3333333</v>
      </c>
      <c r="M212" s="0" t="n">
        <f aca="false">IF(C212="","",1/12*D212*E212^3*(SIN(DEGREES(F212)))^2)</f>
        <v>0</v>
      </c>
      <c r="N212" s="0" t="n">
        <f aca="false">IF(C212="","",L212+M212)</f>
        <v>13864583.3333333</v>
      </c>
    </row>
    <row r="213" customFormat="false" ht="14.25" hidden="false" customHeight="false" outlineLevel="0" collapsed="false">
      <c r="B213" s="2" t="s">
        <v>61</v>
      </c>
      <c r="C213" s="0" t="n">
        <v>1</v>
      </c>
      <c r="D213" s="0" t="n">
        <v>12.5</v>
      </c>
      <c r="E213" s="0" t="n">
        <v>550</v>
      </c>
      <c r="F213" s="0" t="n">
        <v>0</v>
      </c>
      <c r="G213" s="0" t="n">
        <f aca="false">IF(C213="","",C213*D213*E213)</f>
        <v>6875</v>
      </c>
      <c r="H213" s="0" t="n">
        <v>28.1</v>
      </c>
      <c r="I213" s="0" t="n">
        <f aca="false">H213+(E213/2)</f>
        <v>303.1</v>
      </c>
      <c r="J213" s="0" t="n">
        <f aca="false">IF(C213="","",G213*I213)</f>
        <v>2083812.5</v>
      </c>
      <c r="K213" s="0" t="n">
        <f aca="false">IF(C213="","",G213*I213^2)</f>
        <v>631603568.75</v>
      </c>
      <c r="L213" s="0" t="n">
        <f aca="false">IF(C213="","",1/12*D213*E213^3*(COS(DEGREES(F213)))^2)</f>
        <v>173307291.666667</v>
      </c>
      <c r="M213" s="0" t="n">
        <f aca="false">IF(C213="","",1/12*D213*E213^3*(SIN(DEGREES(F213)))^2)</f>
        <v>0</v>
      </c>
      <c r="N213" s="0" t="n">
        <f aca="false">IF(C213="","",L213+M213)</f>
        <v>173307291.666667</v>
      </c>
    </row>
    <row r="214" customFormat="false" ht="14.25" hidden="false" customHeight="false" outlineLevel="0" collapsed="false">
      <c r="B214" s="2" t="s">
        <v>128</v>
      </c>
      <c r="G214" s="0" t="str">
        <f aca="false">IF(C214="","",C214*D214*E214)</f>
        <v/>
      </c>
      <c r="J214" s="0" t="str">
        <f aca="false">IF(C214="","",G214*I214)</f>
        <v/>
      </c>
      <c r="K214" s="0" t="str">
        <f aca="false">IF(C214="","",G214*I214^2)</f>
        <v/>
      </c>
      <c r="L214" s="0" t="str">
        <f aca="false">IF(C214="","",1/12*D214*E214^3*(COS(DEGREES(F214)))^2)</f>
        <v/>
      </c>
      <c r="M214" s="0" t="str">
        <f aca="false">IF(C214="","",1/12*D214*E214^3*(SIN(DEGREES(F214)))^2)</f>
        <v/>
      </c>
      <c r="N214" s="0" t="str">
        <f aca="false">IF(C214="","",L214+M214)</f>
        <v/>
      </c>
    </row>
    <row r="215" customFormat="false" ht="14.25" hidden="false" customHeight="false" outlineLevel="0" collapsed="false">
      <c r="B215" s="2" t="s">
        <v>129</v>
      </c>
      <c r="C215" s="0" t="n">
        <v>0</v>
      </c>
      <c r="D215" s="0" t="n">
        <v>1.2</v>
      </c>
      <c r="E215" s="0" t="n">
        <v>549.563</v>
      </c>
      <c r="F215" s="0" t="n">
        <v>0</v>
      </c>
      <c r="G215" s="0" t="n">
        <f aca="false">IF(C215="","",C215*D215*E215)</f>
        <v>0</v>
      </c>
      <c r="H215" s="0" t="n">
        <f aca="false">598.47/10</f>
        <v>59.847</v>
      </c>
      <c r="I215" s="0" t="n">
        <f aca="false">H215+(E215/2)</f>
        <v>334.6285</v>
      </c>
      <c r="J215" s="0" t="n">
        <f aca="false">IF(C215="","",G215*I215)</f>
        <v>0</v>
      </c>
      <c r="K215" s="0" t="n">
        <f aca="false">IF(C215="","",G215*I215^2)</f>
        <v>0</v>
      </c>
      <c r="L215" s="0" t="n">
        <f aca="false">IF(C215="","",1/12*D215*E215^3*(COS(DEGREES(F215)))^2)</f>
        <v>16597873.7515397</v>
      </c>
      <c r="M215" s="0" t="n">
        <f aca="false">IF(C215="","",1/12*D215*E215^3*(SIN(DEGREES(F215)))^2)</f>
        <v>0</v>
      </c>
      <c r="N215" s="0" t="n">
        <f aca="false">IF(C215="","",L215+M215)</f>
        <v>16597873.7515397</v>
      </c>
    </row>
    <row r="216" customFormat="false" ht="14.25" hidden="false" customHeight="false" outlineLevel="0" collapsed="false">
      <c r="B216" s="2" t="s">
        <v>130</v>
      </c>
      <c r="C216" s="0" t="n">
        <v>0</v>
      </c>
      <c r="D216" s="0" t="n">
        <f aca="false">2719.3/10</f>
        <v>271.93</v>
      </c>
      <c r="E216" s="0" t="n">
        <v>1.4</v>
      </c>
      <c r="F216" s="0" t="n">
        <v>0</v>
      </c>
      <c r="G216" s="0" t="n">
        <f aca="false">IF(C216="","",C216*D216*E216)</f>
        <v>0</v>
      </c>
      <c r="H216" s="0" t="n">
        <v>0</v>
      </c>
      <c r="I216" s="0" t="n">
        <f aca="false">H216+(E216/2)</f>
        <v>0.7</v>
      </c>
      <c r="J216" s="0" t="n">
        <f aca="false">IF(C216="","",G216*I216)</f>
        <v>0</v>
      </c>
      <c r="K216" s="0" t="n">
        <f aca="false">IF(C216="","",G216*I216^2)</f>
        <v>0</v>
      </c>
      <c r="L216" s="0" t="n">
        <f aca="false">IF(C216="","",1/12*D216*E216^3*(COS(DEGREES(F216)))^2)</f>
        <v>62.1813266666667</v>
      </c>
      <c r="M216" s="0" t="n">
        <f aca="false">IF(C216="","",1/12*D216*E216^3*(SIN(DEGREES(F216)))^2)</f>
        <v>0</v>
      </c>
      <c r="N216" s="0" t="n">
        <f aca="false">IF(C216="","",L216+M216)</f>
        <v>62.1813266666667</v>
      </c>
    </row>
    <row r="217" customFormat="false" ht="14.25" hidden="false" customHeight="false" outlineLevel="0" collapsed="false">
      <c r="B217" s="2" t="s">
        <v>131</v>
      </c>
      <c r="C217" s="0" t="n">
        <v>0</v>
      </c>
      <c r="D217" s="0" t="n">
        <f aca="false">3858.83/10</f>
        <v>385.883</v>
      </c>
      <c r="E217" s="0" t="n">
        <v>1.4</v>
      </c>
      <c r="F217" s="0" t="n">
        <v>0</v>
      </c>
      <c r="G217" s="0" t="n">
        <f aca="false">IF(C217="","",C217*D217*E217)</f>
        <v>0</v>
      </c>
      <c r="H217" s="0" t="n">
        <v>0</v>
      </c>
      <c r="I217" s="0" t="n">
        <f aca="false">H217+(E217/2)</f>
        <v>0.7</v>
      </c>
      <c r="J217" s="0" t="n">
        <f aca="false">IF(C217="","",G217*I217)</f>
        <v>0</v>
      </c>
      <c r="K217" s="0" t="n">
        <f aca="false">IF(C217="","",G217*I217^2)</f>
        <v>0</v>
      </c>
      <c r="L217" s="0" t="n">
        <f aca="false">IF(C217="","",1/12*D217*E217^3*(COS(DEGREES(F217)))^2)</f>
        <v>88.2385793333333</v>
      </c>
      <c r="M217" s="0" t="n">
        <f aca="false">IF(C217="","",1/12*D217*E217^3*(SIN(DEGREES(F217)))^2)</f>
        <v>0</v>
      </c>
      <c r="N217" s="0" t="n">
        <f aca="false">IF(C217="","",L217+M217)</f>
        <v>88.2385793333333</v>
      </c>
    </row>
    <row r="218" customFormat="false" ht="14.25" hidden="false" customHeight="false" outlineLevel="0" collapsed="false">
      <c r="B218" s="2" t="s">
        <v>132</v>
      </c>
      <c r="C218" s="0" t="n">
        <v>0</v>
      </c>
      <c r="D218" s="0" t="n">
        <f aca="false">3043.74/10</f>
        <v>304.374</v>
      </c>
      <c r="E218" s="0" t="n">
        <v>1.4</v>
      </c>
      <c r="F218" s="0" t="n">
        <v>0</v>
      </c>
      <c r="G218" s="0" t="n">
        <f aca="false">IF(C218="","",C218*D218*E218)</f>
        <v>0</v>
      </c>
      <c r="H218" s="0" t="n">
        <v>0</v>
      </c>
      <c r="I218" s="0" t="n">
        <f aca="false">H218+(E218/2)</f>
        <v>0.7</v>
      </c>
      <c r="J218" s="0" t="n">
        <f aca="false">IF(C218="","",G218*I218)</f>
        <v>0</v>
      </c>
      <c r="K218" s="0" t="n">
        <f aca="false">IF(C218="","",G218*I218^2)</f>
        <v>0</v>
      </c>
      <c r="L218" s="0" t="n">
        <f aca="false">IF(C218="","",1/12*D218*E218^3*(COS(DEGREES(F218)))^2)</f>
        <v>69.600188</v>
      </c>
      <c r="M218" s="0" t="n">
        <f aca="false">IF(C218="","",1/12*D218*E218^3*(SIN(DEGREES(F218)))^2)</f>
        <v>0</v>
      </c>
      <c r="N218" s="0" t="n">
        <f aca="false">IF(C218="","",L218+M218)</f>
        <v>69.600188</v>
      </c>
    </row>
    <row r="219" customFormat="false" ht="14.25" hidden="false" customHeight="false" outlineLevel="0" collapsed="false">
      <c r="B219" s="2" t="s">
        <v>133</v>
      </c>
      <c r="C219" s="0" t="n">
        <v>0</v>
      </c>
      <c r="D219" s="0" t="n">
        <f aca="false">3497.17/10</f>
        <v>349.717</v>
      </c>
      <c r="E219" s="0" t="n">
        <v>1.4</v>
      </c>
      <c r="F219" s="0" t="n">
        <v>0</v>
      </c>
      <c r="G219" s="0" t="n">
        <f aca="false">IF(C219="","",C219*D219*E219)</f>
        <v>0</v>
      </c>
      <c r="H219" s="0" t="n">
        <v>0</v>
      </c>
      <c r="I219" s="0" t="n">
        <f aca="false">H219+(E219/2)</f>
        <v>0.7</v>
      </c>
      <c r="J219" s="0" t="n">
        <f aca="false">IF(C219="","",G219*I219)</f>
        <v>0</v>
      </c>
      <c r="K219" s="0" t="n">
        <f aca="false">IF(C219="","",G219*I219^2)</f>
        <v>0</v>
      </c>
      <c r="L219" s="0" t="n">
        <f aca="false">IF(C219="","",1/12*D219*E219^3*(COS(DEGREES(F219)))^2)</f>
        <v>79.9686206666666</v>
      </c>
      <c r="M219" s="0" t="n">
        <f aca="false">IF(C219="","",1/12*D219*E219^3*(SIN(DEGREES(F219)))^2)</f>
        <v>0</v>
      </c>
      <c r="N219" s="0" t="n">
        <f aca="false">IF(C219="","",L219+M219)</f>
        <v>79.9686206666666</v>
      </c>
    </row>
    <row r="220" customFormat="false" ht="14.25" hidden="false" customHeight="false" outlineLevel="0" collapsed="false">
      <c r="B220" s="2" t="s">
        <v>134</v>
      </c>
      <c r="C220" s="0" t="n">
        <v>2</v>
      </c>
      <c r="D220" s="0" t="n">
        <f aca="false">13730.89/10</f>
        <v>1373.089</v>
      </c>
      <c r="E220" s="0" t="n">
        <v>0.8</v>
      </c>
      <c r="F220" s="0" t="n">
        <v>0</v>
      </c>
      <c r="G220" s="0" t="n">
        <f aca="false">IF(C220="","",C220*D220*E220)</f>
        <v>2196.9424</v>
      </c>
      <c r="H220" s="0" t="n">
        <f aca="false">6096/10</f>
        <v>609.6</v>
      </c>
      <c r="I220" s="0" t="n">
        <f aca="false">H220+(E220/2)</f>
        <v>610</v>
      </c>
      <c r="J220" s="0" t="n">
        <f aca="false">IF(C220="","",G220*I220)</f>
        <v>1340134.864</v>
      </c>
      <c r="K220" s="0" t="n">
        <f aca="false">IF(C220="","",G220*I220^2)</f>
        <v>817482267.04</v>
      </c>
      <c r="L220" s="0" t="n">
        <f aca="false">IF(C220="","",1/12*D220*E220^3*(COS(DEGREES(F220)))^2)</f>
        <v>58.5851306666667</v>
      </c>
      <c r="M220" s="0" t="n">
        <f aca="false">IF(C220="","",1/12*D220*E220^3*(SIN(DEGREES(F220)))^2)</f>
        <v>0</v>
      </c>
      <c r="N220" s="0" t="n">
        <f aca="false">IF(C220="","",L220+M220)</f>
        <v>58.5851306666667</v>
      </c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0" t="s">
        <v>135</v>
      </c>
      <c r="G224" s="0" t="str">
        <f aca="false">IF(C224="","",C224*D224*E224)</f>
        <v/>
      </c>
      <c r="J224" s="0" t="str">
        <f aca="false">IF(C224="","",G224*I224)</f>
        <v/>
      </c>
      <c r="K224" s="0" t="str">
        <f aca="false">IF(C224="","",G224*I224^2)</f>
        <v/>
      </c>
      <c r="L224" s="0" t="str">
        <f aca="false">IF(C224="","",1/12*D224*E224^3*(COS(DEGREES(F224)))^2)</f>
        <v/>
      </c>
      <c r="M224" s="0" t="str">
        <f aca="false">IF(C224="","",1/12*D224*E224^3*(SIN(DEGREES(F224)))^2)</f>
        <v/>
      </c>
      <c r="N224" s="0" t="str">
        <f aca="false">IF(C224="","",L224+M224)</f>
        <v/>
      </c>
    </row>
    <row r="225" customFormat="false" ht="14.25" hidden="false" customHeight="false" outlineLevel="0" collapsed="false">
      <c r="B225" s="0" t="s">
        <v>136</v>
      </c>
      <c r="C225" s="0" t="n">
        <v>2</v>
      </c>
      <c r="D225" s="0" t="n">
        <v>12</v>
      </c>
      <c r="E225" s="0" t="n">
        <v>95.1</v>
      </c>
      <c r="F225" s="0" t="n">
        <v>128</v>
      </c>
      <c r="G225" s="0" t="n">
        <f aca="false">IF(C225="","",C225*D225*E225)</f>
        <v>2282.4</v>
      </c>
      <c r="H225" s="0" t="n">
        <f aca="false">478.9/10</f>
        <v>47.89</v>
      </c>
      <c r="I225" s="0" t="n">
        <f aca="false">H225+(375.8/10)</f>
        <v>85.47</v>
      </c>
      <c r="J225" s="0" t="n">
        <f aca="false">IF(C225="","",G225*I225)</f>
        <v>195076.728</v>
      </c>
      <c r="K225" s="0" t="n">
        <f aca="false">IF(C225="","",G225*I225^2)</f>
        <v>16673207.94216</v>
      </c>
      <c r="L225" s="0" t="n">
        <f aca="false">IF(C225="","",1/12*D225*E225^3*(COS(DEGREES(F225)))^2)</f>
        <v>30128.4062480532</v>
      </c>
      <c r="M225" s="0" t="n">
        <f aca="false">IF(C225="","",1/12*D225*E225^3*(SIN(DEGREES(F225)))^2)</f>
        <v>829956.944751947</v>
      </c>
      <c r="N225" s="0" t="n">
        <f aca="false">IF(C225="","",L225+M225)</f>
        <v>860085.351</v>
      </c>
    </row>
    <row r="226" customFormat="false" ht="14.25" hidden="false" customHeight="false" outlineLevel="0" collapsed="false">
      <c r="B226" s="0" t="s">
        <v>137</v>
      </c>
      <c r="C226" s="0" t="n">
        <v>2</v>
      </c>
      <c r="D226" s="0" t="n">
        <v>12</v>
      </c>
      <c r="E226" s="0" t="n">
        <v>85.6</v>
      </c>
      <c r="F226" s="0" t="n">
        <v>136</v>
      </c>
      <c r="G226" s="0" t="n">
        <f aca="false">IF(C226="","",C226*D226*E226)</f>
        <v>2054.4</v>
      </c>
      <c r="I226" s="0" t="n">
        <f aca="false">299.23/10</f>
        <v>29.923</v>
      </c>
      <c r="J226" s="0" t="n">
        <f aca="false">IF(C226="","",G226*I226)</f>
        <v>61473.8112</v>
      </c>
      <c r="K226" s="0" t="n">
        <f aca="false">IF(C226="","",G226*I226^2)</f>
        <v>1839480.8525376</v>
      </c>
      <c r="L226" s="0" t="n">
        <f aca="false">IF(C226="","",1/12*D226*E226^3*(COS(DEGREES(F226)))^2)</f>
        <v>141306.978083786</v>
      </c>
      <c r="M226" s="0" t="n">
        <f aca="false">IF(C226="","",1/12*D226*E226^3*(SIN(DEGREES(F226)))^2)</f>
        <v>485915.037916214</v>
      </c>
      <c r="N226" s="0" t="n">
        <f aca="false">IF(C226="","",L226+M226)</f>
        <v>627222.016</v>
      </c>
    </row>
    <row r="227" customFormat="false" ht="14.25" hidden="false" customHeight="false" outlineLevel="0" collapsed="false">
      <c r="B227" s="0" t="s">
        <v>138</v>
      </c>
      <c r="C227" s="0" t="n">
        <v>2</v>
      </c>
      <c r="D227" s="0" t="n">
        <v>15</v>
      </c>
      <c r="E227" s="0" t="n">
        <v>0.9</v>
      </c>
      <c r="F227" s="0" t="n">
        <v>46</v>
      </c>
      <c r="G227" s="0" t="n">
        <f aca="false">IF(C227="","",C227*D227*E227)</f>
        <v>27</v>
      </c>
      <c r="I227" s="0" t="n">
        <f aca="false">341.16/10</f>
        <v>34.116</v>
      </c>
      <c r="J227" s="0" t="n">
        <f aca="false">IF(C227="","",G227*I227)</f>
        <v>921.132</v>
      </c>
      <c r="K227" s="0" t="n">
        <f aca="false">IF(C227="","",G227*I227^2)</f>
        <v>31425.339312</v>
      </c>
      <c r="L227" s="0" t="n">
        <f aca="false">IF(C227="","",1/12*D227*E227^3*(COS(DEGREES(F227)))^2)</f>
        <v>0.878619681814304</v>
      </c>
      <c r="M227" s="0" t="n">
        <f aca="false">IF(C227="","",1/12*D227*E227^3*(SIN(DEGREES(F227)))^2)</f>
        <v>0.0326303181856961</v>
      </c>
      <c r="N227" s="0" t="n">
        <f aca="false">IF(C227="","",L227+M227)</f>
        <v>0.91125</v>
      </c>
    </row>
    <row r="228" s="25" customFormat="true" ht="14.25" hidden="false" customHeight="false" outlineLevel="0" collapsed="false">
      <c r="B228" s="25" t="s">
        <v>139</v>
      </c>
      <c r="C228" s="25" t="n">
        <v>2</v>
      </c>
      <c r="D228" s="25" t="n">
        <v>0.9</v>
      </c>
      <c r="E228" s="25" t="n">
        <v>8.1</v>
      </c>
      <c r="F228" s="25" t="n">
        <v>136</v>
      </c>
      <c r="G228" s="25" t="n">
        <f aca="false">IF(C228="","",C228*D228*E228)</f>
        <v>14.58</v>
      </c>
      <c r="I228" s="25" t="n">
        <f aca="false">363.15/10</f>
        <v>36.315</v>
      </c>
      <c r="J228" s="25" t="n">
        <f aca="false">IF(C228="","",G228*I228)</f>
        <v>529.4727</v>
      </c>
      <c r="K228" s="25" t="n">
        <f aca="false">IF(C228="","",G228*I228^2)</f>
        <v>19227.8011005</v>
      </c>
      <c r="L228" s="25" t="n">
        <f aca="false">IF(C228="","",1/12*D228*E228^3*(COS(DEGREES(F228)))^2)</f>
        <v>8.97963398415994</v>
      </c>
      <c r="M228" s="25" t="n">
        <f aca="false">IF(C228="","",1/12*D228*E228^3*(SIN(DEGREES(F228)))^2)</f>
        <v>30.8784410158401</v>
      </c>
      <c r="N228" s="25" t="n">
        <f aca="false">IF(C228="","",L228+M228)</f>
        <v>39.858075</v>
      </c>
    </row>
    <row r="229" customFormat="false" ht="14.25" hidden="false" customHeight="false" outlineLevel="0" collapsed="false">
      <c r="B229" s="26"/>
      <c r="C229" s="26"/>
      <c r="D229" s="26"/>
      <c r="E229" s="26"/>
      <c r="F229" s="26"/>
      <c r="G229" s="26" t="n">
        <f aca="false">SUM(G10:G228)</f>
        <v>31553.0224</v>
      </c>
      <c r="H229" s="26"/>
      <c r="I229" s="26"/>
      <c r="J229" s="26" t="n">
        <f aca="false">SUM(J10:J228)</f>
        <v>9191052.963292</v>
      </c>
      <c r="K229" s="26" t="n">
        <f aca="false">SUM(K10:K228)</f>
        <v>3312689491.281</v>
      </c>
      <c r="N229" s="26" t="n">
        <f aca="false">SUM(N10:N228)</f>
        <v>392440281.530085</v>
      </c>
    </row>
    <row r="230" customFormat="false" ht="14.25" hidden="false" customHeight="false" outlineLevel="0" collapsed="false">
      <c r="G230" s="0" t="s">
        <v>140</v>
      </c>
      <c r="J230" s="0" t="s">
        <v>141</v>
      </c>
      <c r="K230" s="0" t="s">
        <v>142</v>
      </c>
      <c r="N230" s="0" t="s">
        <v>143</v>
      </c>
    </row>
    <row r="231" customFormat="false" ht="14.25" hidden="false" customHeight="false" outlineLevel="0" collapsed="false">
      <c r="B231" s="0" t="s">
        <v>144</v>
      </c>
    </row>
    <row r="232" customFormat="false" ht="16.15" hidden="false" customHeight="false" outlineLevel="0" collapsed="false">
      <c r="B232" s="0" t="s">
        <v>145</v>
      </c>
      <c r="C232" s="0" t="s">
        <v>146</v>
      </c>
    </row>
    <row r="233" customFormat="false" ht="14.25" hidden="false" customHeight="false" outlineLevel="0" collapsed="false">
      <c r="C233" s="27" t="n">
        <f aca="false">J229/G229</f>
        <v>291.289146465158</v>
      </c>
      <c r="D233" s="0" t="s">
        <v>147</v>
      </c>
    </row>
    <row r="234" customFormat="false" ht="16.15" hidden="false" customHeight="false" outlineLevel="0" collapsed="false">
      <c r="B234" s="0" t="s">
        <v>148</v>
      </c>
      <c r="C234" s="0" t="s">
        <v>149</v>
      </c>
      <c r="E234" s="0" t="s">
        <v>150</v>
      </c>
      <c r="F234" s="0" t="n">
        <f aca="false">MainDim!D4</f>
        <v>6.096</v>
      </c>
      <c r="G234" s="0" t="s">
        <v>151</v>
      </c>
    </row>
    <row r="235" customFormat="false" ht="14.25" hidden="false" customHeight="false" outlineLevel="0" collapsed="false">
      <c r="C235" s="27" t="n">
        <f aca="false">F235-C233</f>
        <v>318.310853534842</v>
      </c>
      <c r="D235" s="0" t="s">
        <v>147</v>
      </c>
      <c r="F235" s="0" t="n">
        <f aca="false">F234*100</f>
        <v>609.6</v>
      </c>
      <c r="G235" s="0" t="s">
        <v>147</v>
      </c>
    </row>
    <row r="237" customFormat="false" ht="16.15" hidden="false" customHeight="false" outlineLevel="0" collapsed="false">
      <c r="B237" s="28" t="s">
        <v>152</v>
      </c>
      <c r="C237" s="29" t="n">
        <f aca="false">SUM(K229,N229)</f>
        <v>3705129772.81108</v>
      </c>
      <c r="D237" s="0" t="s">
        <v>153</v>
      </c>
    </row>
    <row r="239" customFormat="false" ht="16.15" hidden="false" customHeight="false" outlineLevel="0" collapsed="false">
      <c r="B239" s="28" t="s">
        <v>154</v>
      </c>
      <c r="C239" s="29" t="n">
        <f aca="false">SUM(C237,-((C233^2)*G229))</f>
        <v>1027875800.0177</v>
      </c>
      <c r="D239" s="0" t="s">
        <v>153</v>
      </c>
    </row>
    <row r="241" customFormat="false" ht="14.25" hidden="false" customHeight="false" outlineLevel="0" collapsed="false">
      <c r="B241" s="0" t="s">
        <v>155</v>
      </c>
      <c r="F241" s="0" t="s">
        <v>156</v>
      </c>
      <c r="G241" s="0" t="n">
        <v>1</v>
      </c>
    </row>
    <row r="242" customFormat="false" ht="16.15" hidden="false" customHeight="false" outlineLevel="0" collapsed="false">
      <c r="B242" s="0" t="s">
        <v>157</v>
      </c>
      <c r="C242" s="29" t="n">
        <f aca="false">C239/C233</f>
        <v>3528713.00730267</v>
      </c>
      <c r="D242" s="0" t="s">
        <v>158</v>
      </c>
      <c r="F242" s="0" t="s">
        <v>159</v>
      </c>
      <c r="G242" s="0" t="n">
        <v>7.99</v>
      </c>
      <c r="I242" s="0" t="s">
        <v>160</v>
      </c>
      <c r="J242" s="0" t="n">
        <f aca="false">G241*G242*G243*G244*(G245+0.7)*(10^(-6))</f>
        <v>3.12433073004084</v>
      </c>
    </row>
    <row r="243" customFormat="false" ht="16.15" hidden="false" customHeight="false" outlineLevel="0" collapsed="false">
      <c r="C243" s="30" t="n">
        <f aca="false">C242/(10^6)</f>
        <v>3.52871300730267</v>
      </c>
      <c r="D243" s="0" t="s">
        <v>161</v>
      </c>
      <c r="F243" s="0" t="s">
        <v>162</v>
      </c>
      <c r="G243" s="0" t="n">
        <f aca="false">0.94*MainDim!D2^2</f>
        <v>9509.356216</v>
      </c>
    </row>
    <row r="244" customFormat="false" ht="14.25" hidden="false" customHeight="false" outlineLevel="0" collapsed="false">
      <c r="B244" s="0" t="s">
        <v>163</v>
      </c>
      <c r="F244" s="0" t="s">
        <v>164</v>
      </c>
      <c r="G244" s="0" t="n">
        <f aca="false">MainDim!D3</f>
        <v>27.432</v>
      </c>
    </row>
    <row r="245" customFormat="false" ht="16.15" hidden="false" customHeight="false" outlineLevel="0" collapsed="false">
      <c r="B245" s="0" t="s">
        <v>165</v>
      </c>
      <c r="C245" s="29" t="n">
        <f aca="false">C239/C235</f>
        <v>3229157.24865531</v>
      </c>
      <c r="D245" s="0" t="s">
        <v>158</v>
      </c>
      <c r="F245" s="0" t="s">
        <v>166</v>
      </c>
      <c r="G245" s="0" t="n">
        <v>0.799</v>
      </c>
    </row>
    <row r="246" customFormat="false" ht="16.15" hidden="false" customHeight="false" outlineLevel="0" collapsed="false">
      <c r="C246" s="30" t="n">
        <f aca="false">C245/(10^6)</f>
        <v>3.22915724865531</v>
      </c>
      <c r="D246" s="0" t="s">
        <v>161</v>
      </c>
    </row>
  </sheetData>
  <mergeCells count="11">
    <mergeCell ref="A4:A7"/>
    <mergeCell ref="B4:B7"/>
    <mergeCell ref="C4:C5"/>
    <mergeCell ref="D4:D5"/>
    <mergeCell ref="E4:E5"/>
    <mergeCell ref="G4:G5"/>
    <mergeCell ref="H4:H5"/>
    <mergeCell ref="I4:I5"/>
    <mergeCell ref="J4:J5"/>
    <mergeCell ref="K4:K5"/>
    <mergeCell ref="N4:N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17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K9" activeCellId="0" sqref="K9"/>
    </sheetView>
  </sheetViews>
  <sheetFormatPr defaultColWidth="8.3046875" defaultRowHeight="14.25" customHeight="false" zeroHeight="false" outlineLevelRow="0" outlineLevelCol="0"/>
  <cols>
    <col collapsed="false" customWidth="true" hidden="false" outlineLevel="0" max="11" min="11" style="0" width="12.67"/>
    <col collapsed="false" customWidth="true" hidden="false" outlineLevel="0" max="13" min="13" style="0" width="16.67"/>
  </cols>
  <sheetData>
    <row r="1" customFormat="false" ht="14.25" hidden="false" customHeight="false" outlineLevel="0" collapsed="false">
      <c r="B1" s="0" t="s">
        <v>167</v>
      </c>
    </row>
    <row r="3" customFormat="false" ht="14.25" hidden="false" customHeight="false" outlineLevel="0" collapsed="false">
      <c r="B3" s="24" t="s">
        <v>168</v>
      </c>
      <c r="C3" s="24" t="s">
        <v>169</v>
      </c>
      <c r="D3" s="24" t="s">
        <v>167</v>
      </c>
    </row>
    <row r="4" customFormat="false" ht="14.25" hidden="false" customHeight="false" outlineLevel="0" collapsed="false">
      <c r="B4" s="24" t="s">
        <v>170</v>
      </c>
      <c r="D4" s="0" t="s">
        <v>171</v>
      </c>
    </row>
    <row r="12" customFormat="false" ht="14.25" hidden="false" customHeight="false" outlineLevel="0" collapsed="false">
      <c r="K12" s="31" t="s">
        <v>172</v>
      </c>
      <c r="L12" s="31" t="s">
        <v>173</v>
      </c>
      <c r="M12" s="31" t="s">
        <v>174</v>
      </c>
      <c r="N12" s="31"/>
    </row>
    <row r="13" customFormat="false" ht="14.25" hidden="false" customHeight="false" outlineLevel="0" collapsed="false">
      <c r="K13" s="0" t="s">
        <v>175</v>
      </c>
      <c r="L13" s="0" t="s">
        <v>176</v>
      </c>
      <c r="M13" s="0" t="s">
        <v>177</v>
      </c>
    </row>
    <row r="14" customFormat="false" ht="14.25" hidden="false" customHeight="false" outlineLevel="0" collapsed="false">
      <c r="K14" s="0" t="s">
        <v>27</v>
      </c>
      <c r="L14" s="0" t="s">
        <v>178</v>
      </c>
      <c r="M14" s="0" t="s">
        <v>177</v>
      </c>
    </row>
    <row r="15" customFormat="false" ht="14.25" hidden="false" customHeight="false" outlineLevel="0" collapsed="false">
      <c r="K15" s="0" t="s">
        <v>28</v>
      </c>
      <c r="L15" s="0" t="s">
        <v>179</v>
      </c>
      <c r="M15" s="0" t="s">
        <v>177</v>
      </c>
    </row>
    <row r="16" customFormat="false" ht="14.25" hidden="false" customHeight="false" outlineLevel="0" collapsed="false">
      <c r="K16" s="32" t="s">
        <v>180</v>
      </c>
      <c r="L16" s="0" t="s">
        <v>181</v>
      </c>
      <c r="M16" s="0" t="s">
        <v>177</v>
      </c>
    </row>
    <row r="17" customFormat="false" ht="16.6" hidden="false" customHeight="false" outlineLevel="0" collapsed="false">
      <c r="K17" s="0" t="s">
        <v>182</v>
      </c>
      <c r="L17" s="0" t="n">
        <v>120</v>
      </c>
      <c r="M17" s="0" t="s">
        <v>183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2026-06-03T03:29:56Z</dcterms:created>
  <dc:creator>Lintang Al Njeporowiy</dc:creator>
  <dc:description/>
  <dc:language>en-US</dc:language>
  <cp:lastModifiedBy/>
  <dcterms:modified xsi:type="dcterms:W3CDTF">2026-06-29T18:48:07Z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