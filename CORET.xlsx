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ekolah_Lagi\SEM1\Keandalan-Struktur\"/>
    </mc:Choice>
  </mc:AlternateContent>
  <xr:revisionPtr revIDLastSave="0" documentId="13_ncr:1_{49BB9B01-1B28-4ED1-A7F4-F5144DB4074D}" xr6:coauthVersionLast="47" xr6:coauthVersionMax="47" xr10:uidLastSave="{00000000-0000-0000-0000-000000000000}"/>
  <bookViews>
    <workbookView xWindow="-110" yWindow="-110" windowWidth="23260" windowHeight="12580" activeTab="2" xr2:uid="{9BE68F48-1C13-4C49-99D9-5C23E5973E0C}"/>
  </bookViews>
  <sheets>
    <sheet name="MainDim" sheetId="1" r:id="rId1"/>
    <sheet name="Sheet2" sheetId="2" r:id="rId2"/>
    <sheet name="MODULUS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0" i="3" l="1"/>
  <c r="H220" i="3"/>
  <c r="L220" i="3"/>
  <c r="M220" i="3"/>
  <c r="G220" i="3"/>
  <c r="K220" i="3" s="1"/>
  <c r="D220" i="3"/>
  <c r="N214" i="3"/>
  <c r="M214" i="3"/>
  <c r="M215" i="3"/>
  <c r="M216" i="3"/>
  <c r="M217" i="3"/>
  <c r="M218" i="3"/>
  <c r="M219" i="3"/>
  <c r="N219" i="3" s="1"/>
  <c r="L214" i="3"/>
  <c r="L215" i="3"/>
  <c r="L216" i="3"/>
  <c r="L217" i="3"/>
  <c r="L218" i="3"/>
  <c r="L219" i="3"/>
  <c r="K214" i="3"/>
  <c r="J214" i="3"/>
  <c r="I216" i="3"/>
  <c r="I217" i="3"/>
  <c r="I218" i="3"/>
  <c r="I219" i="3"/>
  <c r="I215" i="3"/>
  <c r="H215" i="3"/>
  <c r="G214" i="3"/>
  <c r="G215" i="3"/>
  <c r="J215" i="3" s="1"/>
  <c r="G216" i="3"/>
  <c r="J216" i="3" s="1"/>
  <c r="G217" i="3"/>
  <c r="J217" i="3" s="1"/>
  <c r="G218" i="3"/>
  <c r="J218" i="3" s="1"/>
  <c r="G219" i="3"/>
  <c r="J219" i="3" s="1"/>
  <c r="D219" i="3"/>
  <c r="D218" i="3"/>
  <c r="D217" i="3"/>
  <c r="D216" i="3"/>
  <c r="N224" i="3"/>
  <c r="G243" i="3"/>
  <c r="G244" i="3"/>
  <c r="F234" i="3"/>
  <c r="F235" i="3" s="1"/>
  <c r="N12" i="3"/>
  <c r="N15" i="3"/>
  <c r="N18" i="3"/>
  <c r="N21" i="3"/>
  <c r="N24" i="3"/>
  <c r="N27" i="3"/>
  <c r="N30" i="3"/>
  <c r="N33" i="3"/>
  <c r="N36" i="3"/>
  <c r="N39" i="3"/>
  <c r="N42" i="3"/>
  <c r="N45" i="3"/>
  <c r="N48" i="3"/>
  <c r="N51" i="3"/>
  <c r="N54" i="3"/>
  <c r="N57" i="3"/>
  <c r="N60" i="3"/>
  <c r="N63" i="3"/>
  <c r="N66" i="3"/>
  <c r="N69" i="3"/>
  <c r="N72" i="3"/>
  <c r="N75" i="3"/>
  <c r="N78" i="3"/>
  <c r="N81" i="3"/>
  <c r="N84" i="3"/>
  <c r="N87" i="3"/>
  <c r="N90" i="3"/>
  <c r="N93" i="3"/>
  <c r="N96" i="3"/>
  <c r="N99" i="3"/>
  <c r="N102" i="3"/>
  <c r="N105" i="3"/>
  <c r="N108" i="3"/>
  <c r="N111" i="3"/>
  <c r="N114" i="3"/>
  <c r="N117" i="3"/>
  <c r="N120" i="3"/>
  <c r="N123" i="3"/>
  <c r="N126" i="3"/>
  <c r="N127" i="3"/>
  <c r="N130" i="3"/>
  <c r="N133" i="3"/>
  <c r="N136" i="3"/>
  <c r="N139" i="3"/>
  <c r="N142" i="3"/>
  <c r="N145" i="3"/>
  <c r="N148" i="3"/>
  <c r="N151" i="3"/>
  <c r="N152" i="3"/>
  <c r="N155" i="3"/>
  <c r="N158" i="3"/>
  <c r="N161" i="3"/>
  <c r="N164" i="3"/>
  <c r="N167" i="3"/>
  <c r="N170" i="3"/>
  <c r="N173" i="3"/>
  <c r="N176" i="3"/>
  <c r="N179" i="3"/>
  <c r="N180" i="3"/>
  <c r="N183" i="3"/>
  <c r="N184" i="3"/>
  <c r="N187" i="3"/>
  <c r="N190" i="3"/>
  <c r="N193" i="3"/>
  <c r="N196" i="3"/>
  <c r="N199" i="3"/>
  <c r="N202" i="3"/>
  <c r="N205" i="3"/>
  <c r="N208" i="3"/>
  <c r="N211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24" i="3"/>
  <c r="M225" i="3"/>
  <c r="M226" i="3"/>
  <c r="M227" i="3"/>
  <c r="M228" i="3"/>
  <c r="M10" i="3"/>
  <c r="L11" i="3"/>
  <c r="L12" i="3"/>
  <c r="L13" i="3"/>
  <c r="L14" i="3"/>
  <c r="L15" i="3"/>
  <c r="L16" i="3"/>
  <c r="L17" i="3"/>
  <c r="L18" i="3"/>
  <c r="L19" i="3"/>
  <c r="N19" i="3" s="1"/>
  <c r="L20" i="3"/>
  <c r="N20" i="3" s="1"/>
  <c r="L21" i="3"/>
  <c r="L22" i="3"/>
  <c r="L23" i="3"/>
  <c r="N23" i="3" s="1"/>
  <c r="L24" i="3"/>
  <c r="L25" i="3"/>
  <c r="L26" i="3"/>
  <c r="N26" i="3" s="1"/>
  <c r="L27" i="3"/>
  <c r="L28" i="3"/>
  <c r="L29" i="3"/>
  <c r="N29" i="3" s="1"/>
  <c r="L30" i="3"/>
  <c r="L31" i="3"/>
  <c r="L32" i="3"/>
  <c r="L33" i="3"/>
  <c r="L34" i="3"/>
  <c r="N34" i="3" s="1"/>
  <c r="L35" i="3"/>
  <c r="N35" i="3" s="1"/>
  <c r="L36" i="3"/>
  <c r="L37" i="3"/>
  <c r="L38" i="3"/>
  <c r="L39" i="3"/>
  <c r="L40" i="3"/>
  <c r="N40" i="3" s="1"/>
  <c r="L41" i="3"/>
  <c r="L42" i="3"/>
  <c r="L43" i="3"/>
  <c r="N43" i="3" s="1"/>
  <c r="L44" i="3"/>
  <c r="N44" i="3" s="1"/>
  <c r="L45" i="3"/>
  <c r="L46" i="3"/>
  <c r="N46" i="3" s="1"/>
  <c r="L47" i="3"/>
  <c r="L48" i="3"/>
  <c r="L49" i="3"/>
  <c r="N49" i="3" s="1"/>
  <c r="L50" i="3"/>
  <c r="N50" i="3" s="1"/>
  <c r="L51" i="3"/>
  <c r="L52" i="3"/>
  <c r="N52" i="3" s="1"/>
  <c r="L53" i="3"/>
  <c r="L54" i="3"/>
  <c r="L55" i="3"/>
  <c r="N55" i="3" s="1"/>
  <c r="L56" i="3"/>
  <c r="N56" i="3" s="1"/>
  <c r="L57" i="3"/>
  <c r="L58" i="3"/>
  <c r="N58" i="3" s="1"/>
  <c r="L59" i="3"/>
  <c r="N59" i="3" s="1"/>
  <c r="L60" i="3"/>
  <c r="L61" i="3"/>
  <c r="N61" i="3" s="1"/>
  <c r="L62" i="3"/>
  <c r="N62" i="3" s="1"/>
  <c r="L63" i="3"/>
  <c r="L64" i="3"/>
  <c r="L65" i="3"/>
  <c r="N65" i="3" s="1"/>
  <c r="L66" i="3"/>
  <c r="L67" i="3"/>
  <c r="N67" i="3" s="1"/>
  <c r="L68" i="3"/>
  <c r="N68" i="3" s="1"/>
  <c r="L69" i="3"/>
  <c r="L70" i="3"/>
  <c r="L71" i="3"/>
  <c r="N71" i="3" s="1"/>
  <c r="L72" i="3"/>
  <c r="L73" i="3"/>
  <c r="L74" i="3"/>
  <c r="N74" i="3" s="1"/>
  <c r="L75" i="3"/>
  <c r="L76" i="3"/>
  <c r="N76" i="3" s="1"/>
  <c r="L77" i="3"/>
  <c r="N77" i="3" s="1"/>
  <c r="L78" i="3"/>
  <c r="L79" i="3"/>
  <c r="L80" i="3"/>
  <c r="L81" i="3"/>
  <c r="L82" i="3"/>
  <c r="N82" i="3" s="1"/>
  <c r="L83" i="3"/>
  <c r="N83" i="3" s="1"/>
  <c r="L84" i="3"/>
  <c r="L85" i="3"/>
  <c r="L86" i="3"/>
  <c r="L87" i="3"/>
  <c r="L88" i="3"/>
  <c r="N88" i="3" s="1"/>
  <c r="L89" i="3"/>
  <c r="L90" i="3"/>
  <c r="L91" i="3"/>
  <c r="N91" i="3" s="1"/>
  <c r="L92" i="3"/>
  <c r="N92" i="3" s="1"/>
  <c r="L93" i="3"/>
  <c r="L94" i="3"/>
  <c r="N94" i="3" s="1"/>
  <c r="L95" i="3"/>
  <c r="L96" i="3"/>
  <c r="L97" i="3"/>
  <c r="N97" i="3" s="1"/>
  <c r="L98" i="3"/>
  <c r="N98" i="3" s="1"/>
  <c r="L99" i="3"/>
  <c r="L100" i="3"/>
  <c r="N100" i="3" s="1"/>
  <c r="L101" i="3"/>
  <c r="L102" i="3"/>
  <c r="L103" i="3"/>
  <c r="N103" i="3" s="1"/>
  <c r="L104" i="3"/>
  <c r="N104" i="3" s="1"/>
  <c r="L105" i="3"/>
  <c r="L106" i="3"/>
  <c r="N106" i="3" s="1"/>
  <c r="L107" i="3"/>
  <c r="N107" i="3" s="1"/>
  <c r="L108" i="3"/>
  <c r="L109" i="3"/>
  <c r="N109" i="3" s="1"/>
  <c r="L110" i="3"/>
  <c r="N110" i="3" s="1"/>
  <c r="L111" i="3"/>
  <c r="L112" i="3"/>
  <c r="L113" i="3"/>
  <c r="N113" i="3" s="1"/>
  <c r="L114" i="3"/>
  <c r="L115" i="3"/>
  <c r="N115" i="3" s="1"/>
  <c r="L116" i="3"/>
  <c r="N116" i="3" s="1"/>
  <c r="L117" i="3"/>
  <c r="L118" i="3"/>
  <c r="L119" i="3"/>
  <c r="N119" i="3" s="1"/>
  <c r="L120" i="3"/>
  <c r="L121" i="3"/>
  <c r="L122" i="3"/>
  <c r="N122" i="3" s="1"/>
  <c r="L123" i="3"/>
  <c r="L124" i="3"/>
  <c r="N124" i="3" s="1"/>
  <c r="L125" i="3"/>
  <c r="N125" i="3" s="1"/>
  <c r="L126" i="3"/>
  <c r="L127" i="3"/>
  <c r="L128" i="3"/>
  <c r="L129" i="3"/>
  <c r="N129" i="3" s="1"/>
  <c r="L130" i="3"/>
  <c r="L131" i="3"/>
  <c r="N131" i="3" s="1"/>
  <c r="L132" i="3"/>
  <c r="N132" i="3" s="1"/>
  <c r="L133" i="3"/>
  <c r="L134" i="3"/>
  <c r="L135" i="3"/>
  <c r="N135" i="3" s="1"/>
  <c r="L136" i="3"/>
  <c r="L137" i="3"/>
  <c r="L138" i="3"/>
  <c r="N138" i="3" s="1"/>
  <c r="L139" i="3"/>
  <c r="L140" i="3"/>
  <c r="N140" i="3" s="1"/>
  <c r="L141" i="3"/>
  <c r="N141" i="3" s="1"/>
  <c r="L142" i="3"/>
  <c r="L143" i="3"/>
  <c r="L144" i="3"/>
  <c r="L145" i="3"/>
  <c r="L146" i="3"/>
  <c r="N146" i="3" s="1"/>
  <c r="L147" i="3"/>
  <c r="N147" i="3" s="1"/>
  <c r="L148" i="3"/>
  <c r="L149" i="3"/>
  <c r="L150" i="3"/>
  <c r="L151" i="3"/>
  <c r="L152" i="3"/>
  <c r="L153" i="3"/>
  <c r="L154" i="3"/>
  <c r="N154" i="3" s="1"/>
  <c r="L155" i="3"/>
  <c r="L156" i="3"/>
  <c r="N156" i="3" s="1"/>
  <c r="L157" i="3"/>
  <c r="N157" i="3" s="1"/>
  <c r="L158" i="3"/>
  <c r="L159" i="3"/>
  <c r="L160" i="3"/>
  <c r="L161" i="3"/>
  <c r="L162" i="3"/>
  <c r="N162" i="3" s="1"/>
  <c r="L163" i="3"/>
  <c r="N163" i="3" s="1"/>
  <c r="L164" i="3"/>
  <c r="L165" i="3"/>
  <c r="L166" i="3"/>
  <c r="L167" i="3"/>
  <c r="L168" i="3"/>
  <c r="N168" i="3" s="1"/>
  <c r="L169" i="3"/>
  <c r="L170" i="3"/>
  <c r="L171" i="3"/>
  <c r="N171" i="3" s="1"/>
  <c r="L172" i="3"/>
  <c r="N172" i="3" s="1"/>
  <c r="L173" i="3"/>
  <c r="L174" i="3"/>
  <c r="N174" i="3" s="1"/>
  <c r="L175" i="3"/>
  <c r="L176" i="3"/>
  <c r="L177" i="3"/>
  <c r="L178" i="3"/>
  <c r="N178" i="3" s="1"/>
  <c r="L179" i="3"/>
  <c r="L180" i="3"/>
  <c r="L181" i="3"/>
  <c r="L182" i="3"/>
  <c r="L183" i="3"/>
  <c r="L184" i="3"/>
  <c r="L185" i="3"/>
  <c r="L186" i="3"/>
  <c r="N186" i="3" s="1"/>
  <c r="L187" i="3"/>
  <c r="L188" i="3"/>
  <c r="N188" i="3" s="1"/>
  <c r="L189" i="3"/>
  <c r="N189" i="3" s="1"/>
  <c r="L190" i="3"/>
  <c r="L191" i="3"/>
  <c r="L192" i="3"/>
  <c r="L193" i="3"/>
  <c r="L194" i="3"/>
  <c r="N194" i="3" s="1"/>
  <c r="L195" i="3"/>
  <c r="N195" i="3" s="1"/>
  <c r="L196" i="3"/>
  <c r="L197" i="3"/>
  <c r="L198" i="3"/>
  <c r="L199" i="3"/>
  <c r="L200" i="3"/>
  <c r="N200" i="3" s="1"/>
  <c r="L201" i="3"/>
  <c r="L202" i="3"/>
  <c r="L203" i="3"/>
  <c r="N203" i="3" s="1"/>
  <c r="L204" i="3"/>
  <c r="N204" i="3" s="1"/>
  <c r="L205" i="3"/>
  <c r="L206" i="3"/>
  <c r="N206" i="3" s="1"/>
  <c r="L207" i="3"/>
  <c r="L208" i="3"/>
  <c r="L209" i="3"/>
  <c r="L210" i="3"/>
  <c r="N210" i="3" s="1"/>
  <c r="L211" i="3"/>
  <c r="L212" i="3"/>
  <c r="N212" i="3" s="1"/>
  <c r="L213" i="3"/>
  <c r="L224" i="3"/>
  <c r="L225" i="3"/>
  <c r="N225" i="3" s="1"/>
  <c r="L226" i="3"/>
  <c r="N226" i="3" s="1"/>
  <c r="L227" i="3"/>
  <c r="L228" i="3"/>
  <c r="N228" i="3" s="1"/>
  <c r="L10" i="3"/>
  <c r="N10" i="3" s="1"/>
  <c r="K12" i="3"/>
  <c r="K15" i="3"/>
  <c r="K18" i="3"/>
  <c r="K21" i="3"/>
  <c r="K24" i="3"/>
  <c r="K27" i="3"/>
  <c r="K30" i="3"/>
  <c r="K33" i="3"/>
  <c r="K36" i="3"/>
  <c r="K39" i="3"/>
  <c r="K42" i="3"/>
  <c r="K45" i="3"/>
  <c r="K48" i="3"/>
  <c r="K51" i="3"/>
  <c r="K54" i="3"/>
  <c r="K57" i="3"/>
  <c r="K60" i="3"/>
  <c r="K63" i="3"/>
  <c r="K66" i="3"/>
  <c r="K69" i="3"/>
  <c r="K72" i="3"/>
  <c r="K75" i="3"/>
  <c r="K78" i="3"/>
  <c r="K81" i="3"/>
  <c r="K84" i="3"/>
  <c r="K87" i="3"/>
  <c r="K90" i="3"/>
  <c r="K93" i="3"/>
  <c r="K96" i="3"/>
  <c r="K99" i="3"/>
  <c r="K102" i="3"/>
  <c r="K105" i="3"/>
  <c r="K108" i="3"/>
  <c r="K111" i="3"/>
  <c r="K114" i="3"/>
  <c r="K117" i="3"/>
  <c r="K120" i="3"/>
  <c r="K123" i="3"/>
  <c r="K126" i="3"/>
  <c r="K127" i="3"/>
  <c r="K130" i="3"/>
  <c r="K133" i="3"/>
  <c r="K136" i="3"/>
  <c r="K139" i="3"/>
  <c r="K142" i="3"/>
  <c r="K145" i="3"/>
  <c r="K148" i="3"/>
  <c r="K151" i="3"/>
  <c r="K152" i="3"/>
  <c r="K155" i="3"/>
  <c r="K158" i="3"/>
  <c r="K161" i="3"/>
  <c r="K164" i="3"/>
  <c r="K167" i="3"/>
  <c r="K170" i="3"/>
  <c r="K173" i="3"/>
  <c r="K176" i="3"/>
  <c r="K179" i="3"/>
  <c r="K180" i="3"/>
  <c r="K183" i="3"/>
  <c r="K184" i="3"/>
  <c r="K187" i="3"/>
  <c r="K190" i="3"/>
  <c r="K193" i="3"/>
  <c r="K196" i="3"/>
  <c r="K199" i="3"/>
  <c r="K202" i="3"/>
  <c r="K205" i="3"/>
  <c r="K208" i="3"/>
  <c r="K211" i="3"/>
  <c r="K224" i="3"/>
  <c r="J12" i="3"/>
  <c r="J15" i="3"/>
  <c r="J18" i="3"/>
  <c r="J21" i="3"/>
  <c r="J24" i="3"/>
  <c r="J27" i="3"/>
  <c r="J30" i="3"/>
  <c r="J33" i="3"/>
  <c r="J36" i="3"/>
  <c r="J39" i="3"/>
  <c r="J42" i="3"/>
  <c r="J45" i="3"/>
  <c r="J48" i="3"/>
  <c r="J51" i="3"/>
  <c r="J54" i="3"/>
  <c r="J57" i="3"/>
  <c r="J60" i="3"/>
  <c r="J63" i="3"/>
  <c r="J66" i="3"/>
  <c r="J69" i="3"/>
  <c r="J72" i="3"/>
  <c r="J75" i="3"/>
  <c r="J78" i="3"/>
  <c r="J81" i="3"/>
  <c r="J84" i="3"/>
  <c r="J87" i="3"/>
  <c r="J90" i="3"/>
  <c r="J93" i="3"/>
  <c r="J96" i="3"/>
  <c r="J99" i="3"/>
  <c r="J102" i="3"/>
  <c r="J105" i="3"/>
  <c r="J108" i="3"/>
  <c r="J111" i="3"/>
  <c r="J114" i="3"/>
  <c r="J117" i="3"/>
  <c r="J120" i="3"/>
  <c r="J123" i="3"/>
  <c r="J126" i="3"/>
  <c r="J127" i="3"/>
  <c r="J130" i="3"/>
  <c r="J133" i="3"/>
  <c r="J136" i="3"/>
  <c r="J139" i="3"/>
  <c r="J142" i="3"/>
  <c r="J145" i="3"/>
  <c r="J148" i="3"/>
  <c r="J151" i="3"/>
  <c r="J152" i="3"/>
  <c r="J155" i="3"/>
  <c r="J158" i="3"/>
  <c r="J161" i="3"/>
  <c r="J164" i="3"/>
  <c r="J167" i="3"/>
  <c r="J170" i="3"/>
  <c r="J173" i="3"/>
  <c r="J176" i="3"/>
  <c r="J179" i="3"/>
  <c r="J180" i="3"/>
  <c r="J183" i="3"/>
  <c r="J184" i="3"/>
  <c r="J187" i="3"/>
  <c r="J190" i="3"/>
  <c r="J193" i="3"/>
  <c r="J196" i="3"/>
  <c r="J199" i="3"/>
  <c r="J202" i="3"/>
  <c r="J205" i="3"/>
  <c r="J208" i="3"/>
  <c r="J211" i="3"/>
  <c r="J224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24" i="3"/>
  <c r="G225" i="3"/>
  <c r="G226" i="3"/>
  <c r="G227" i="3"/>
  <c r="G228" i="3"/>
  <c r="G10" i="3"/>
  <c r="I226" i="3"/>
  <c r="I227" i="3"/>
  <c r="I228" i="3"/>
  <c r="H225" i="3"/>
  <c r="I225" i="3" s="1"/>
  <c r="I213" i="3"/>
  <c r="I212" i="3"/>
  <c r="H185" i="3"/>
  <c r="H186" i="3" s="1"/>
  <c r="I182" i="3"/>
  <c r="I181" i="3"/>
  <c r="N215" i="3" l="1"/>
  <c r="N217" i="3"/>
  <c r="N218" i="3"/>
  <c r="K218" i="3"/>
  <c r="K219" i="3"/>
  <c r="J229" i="3"/>
  <c r="N216" i="3"/>
  <c r="K215" i="3"/>
  <c r="G229" i="3"/>
  <c r="J220" i="3"/>
  <c r="N220" i="3"/>
  <c r="K217" i="3"/>
  <c r="K216" i="3"/>
  <c r="N213" i="3"/>
  <c r="N197" i="3"/>
  <c r="N181" i="3"/>
  <c r="N165" i="3"/>
  <c r="N149" i="3"/>
  <c r="N101" i="3"/>
  <c r="N85" i="3"/>
  <c r="N53" i="3"/>
  <c r="N192" i="3"/>
  <c r="N160" i="3"/>
  <c r="N144" i="3"/>
  <c r="N128" i="3"/>
  <c r="N112" i="3"/>
  <c r="N80" i="3"/>
  <c r="N64" i="3"/>
  <c r="N32" i="3"/>
  <c r="J242" i="3"/>
  <c r="N198" i="3"/>
  <c r="N182" i="3"/>
  <c r="N166" i="3"/>
  <c r="N150" i="3"/>
  <c r="N134" i="3"/>
  <c r="N118" i="3"/>
  <c r="N86" i="3"/>
  <c r="N70" i="3"/>
  <c r="N38" i="3"/>
  <c r="N22" i="3"/>
  <c r="K181" i="3"/>
  <c r="J182" i="3"/>
  <c r="N207" i="3"/>
  <c r="N191" i="3"/>
  <c r="N175" i="3"/>
  <c r="N159" i="3"/>
  <c r="N143" i="3"/>
  <c r="N95" i="3"/>
  <c r="N79" i="3"/>
  <c r="N47" i="3"/>
  <c r="N13" i="3"/>
  <c r="N28" i="3"/>
  <c r="J228" i="3"/>
  <c r="N227" i="3"/>
  <c r="N201" i="3"/>
  <c r="N185" i="3"/>
  <c r="N169" i="3"/>
  <c r="N153" i="3"/>
  <c r="N137" i="3"/>
  <c r="N121" i="3"/>
  <c r="N89" i="3"/>
  <c r="N73" i="3"/>
  <c r="N41" i="3"/>
  <c r="N25" i="3"/>
  <c r="N209" i="3"/>
  <c r="K226" i="3"/>
  <c r="N177" i="3"/>
  <c r="N31" i="3"/>
  <c r="N11" i="3"/>
  <c r="K227" i="3"/>
  <c r="N17" i="3"/>
  <c r="N16" i="3"/>
  <c r="N14" i="3"/>
  <c r="K182" i="3"/>
  <c r="N37" i="3"/>
  <c r="J213" i="3"/>
  <c r="J181" i="3"/>
  <c r="K212" i="3"/>
  <c r="K225" i="3"/>
  <c r="J226" i="3"/>
  <c r="J227" i="3"/>
  <c r="J225" i="3"/>
  <c r="K228" i="3"/>
  <c r="J212" i="3"/>
  <c r="K213" i="3"/>
  <c r="H188" i="3"/>
  <c r="H191" i="3" s="1"/>
  <c r="H194" i="3" s="1"/>
  <c r="I186" i="3"/>
  <c r="J186" i="3" s="1"/>
  <c r="H189" i="3"/>
  <c r="I185" i="3"/>
  <c r="K185" i="3" s="1"/>
  <c r="K229" i="3" l="1"/>
  <c r="C233" i="3"/>
  <c r="C235" i="3" s="1"/>
  <c r="N229" i="3"/>
  <c r="J185" i="3"/>
  <c r="K186" i="3"/>
  <c r="I191" i="3"/>
  <c r="I188" i="3"/>
  <c r="H197" i="3"/>
  <c r="I194" i="3"/>
  <c r="H192" i="3"/>
  <c r="I189" i="3"/>
  <c r="J194" i="3" l="1"/>
  <c r="K194" i="3"/>
  <c r="J188" i="3"/>
  <c r="K188" i="3"/>
  <c r="J191" i="3"/>
  <c r="K191" i="3"/>
  <c r="K189" i="3"/>
  <c r="J189" i="3"/>
  <c r="H195" i="3"/>
  <c r="I192" i="3"/>
  <c r="I197" i="3"/>
  <c r="H200" i="3"/>
  <c r="J197" i="3" l="1"/>
  <c r="K197" i="3"/>
  <c r="J192" i="3"/>
  <c r="K192" i="3"/>
  <c r="H203" i="3"/>
  <c r="I200" i="3"/>
  <c r="H198" i="3"/>
  <c r="I195" i="3"/>
  <c r="K195" i="3" l="1"/>
  <c r="J195" i="3"/>
  <c r="J200" i="3"/>
  <c r="K200" i="3"/>
  <c r="I198" i="3"/>
  <c r="H201" i="3"/>
  <c r="H206" i="3"/>
  <c r="I203" i="3"/>
  <c r="J203" i="3" l="1"/>
  <c r="K203" i="3"/>
  <c r="J198" i="3"/>
  <c r="K198" i="3"/>
  <c r="I201" i="3"/>
  <c r="H204" i="3"/>
  <c r="H209" i="3"/>
  <c r="I209" i="3" s="1"/>
  <c r="I206" i="3"/>
  <c r="K206" i="3" l="1"/>
  <c r="J206" i="3"/>
  <c r="J201" i="3"/>
  <c r="K201" i="3"/>
  <c r="K209" i="3"/>
  <c r="J209" i="3"/>
  <c r="H207" i="3"/>
  <c r="I204" i="3"/>
  <c r="J204" i="3" l="1"/>
  <c r="K204" i="3"/>
  <c r="H210" i="3"/>
  <c r="I210" i="3" s="1"/>
  <c r="I207" i="3"/>
  <c r="K210" i="3" l="1"/>
  <c r="J210" i="3"/>
  <c r="J207" i="3"/>
  <c r="K207" i="3"/>
  <c r="H153" i="3" l="1"/>
  <c r="H154" i="3" s="1"/>
  <c r="H128" i="3"/>
  <c r="I128" i="3" s="1"/>
  <c r="I65" i="3"/>
  <c r="I64" i="3"/>
  <c r="I62" i="3"/>
  <c r="I61" i="3"/>
  <c r="I59" i="3"/>
  <c r="I58" i="3"/>
  <c r="I56" i="3"/>
  <c r="I55" i="3"/>
  <c r="I53" i="3"/>
  <c r="I52" i="3"/>
  <c r="I50" i="3"/>
  <c r="I49" i="3"/>
  <c r="I47" i="3"/>
  <c r="I46" i="3"/>
  <c r="I44" i="3"/>
  <c r="I43" i="3"/>
  <c r="I41" i="3"/>
  <c r="I40" i="3"/>
  <c r="I38" i="3"/>
  <c r="I37" i="3"/>
  <c r="I35" i="3"/>
  <c r="I34" i="3"/>
  <c r="I32" i="3"/>
  <c r="I31" i="3"/>
  <c r="I29" i="3"/>
  <c r="I28" i="3"/>
  <c r="I26" i="3"/>
  <c r="I25" i="3"/>
  <c r="I23" i="3"/>
  <c r="I22" i="3"/>
  <c r="I20" i="3"/>
  <c r="I19" i="3"/>
  <c r="I17" i="3"/>
  <c r="I16" i="3"/>
  <c r="I14" i="3"/>
  <c r="I13" i="3"/>
  <c r="I11" i="3"/>
  <c r="I10" i="3"/>
  <c r="H125" i="3"/>
  <c r="I125" i="3" s="1"/>
  <c r="H124" i="3"/>
  <c r="I124" i="3" s="1"/>
  <c r="H122" i="3"/>
  <c r="I122" i="3" s="1"/>
  <c r="H121" i="3"/>
  <c r="I121" i="3" s="1"/>
  <c r="H119" i="3"/>
  <c r="I119" i="3" s="1"/>
  <c r="H118" i="3"/>
  <c r="I118" i="3" s="1"/>
  <c r="H116" i="3"/>
  <c r="I116" i="3" s="1"/>
  <c r="H115" i="3"/>
  <c r="I115" i="3" s="1"/>
  <c r="H113" i="3"/>
  <c r="I113" i="3" s="1"/>
  <c r="H112" i="3"/>
  <c r="I112" i="3" s="1"/>
  <c r="H110" i="3"/>
  <c r="I110" i="3" s="1"/>
  <c r="H109" i="3"/>
  <c r="I109" i="3" s="1"/>
  <c r="H107" i="3"/>
  <c r="I107" i="3" s="1"/>
  <c r="H106" i="3"/>
  <c r="I106" i="3" s="1"/>
  <c r="H104" i="3"/>
  <c r="I104" i="3" s="1"/>
  <c r="H103" i="3"/>
  <c r="I103" i="3" s="1"/>
  <c r="H101" i="3"/>
  <c r="I101" i="3" s="1"/>
  <c r="H100" i="3"/>
  <c r="I100" i="3" s="1"/>
  <c r="H98" i="3"/>
  <c r="I98" i="3" s="1"/>
  <c r="H97" i="3"/>
  <c r="I97" i="3" s="1"/>
  <c r="H95" i="3"/>
  <c r="I95" i="3" s="1"/>
  <c r="H94" i="3"/>
  <c r="I94" i="3" s="1"/>
  <c r="H92" i="3"/>
  <c r="I92" i="3" s="1"/>
  <c r="H91" i="3"/>
  <c r="I91" i="3" s="1"/>
  <c r="H89" i="3"/>
  <c r="I89" i="3" s="1"/>
  <c r="H88" i="3"/>
  <c r="I88" i="3" s="1"/>
  <c r="H86" i="3"/>
  <c r="I86" i="3" s="1"/>
  <c r="H85" i="3"/>
  <c r="I85" i="3" s="1"/>
  <c r="H83" i="3"/>
  <c r="I83" i="3" s="1"/>
  <c r="H82" i="3"/>
  <c r="I82" i="3" s="1"/>
  <c r="H80" i="3"/>
  <c r="I80" i="3" s="1"/>
  <c r="H79" i="3"/>
  <c r="I79" i="3" s="1"/>
  <c r="H77" i="3"/>
  <c r="I77" i="3" s="1"/>
  <c r="H76" i="3"/>
  <c r="I76" i="3" s="1"/>
  <c r="H74" i="3"/>
  <c r="I74" i="3" s="1"/>
  <c r="H73" i="3"/>
  <c r="I73" i="3" s="1"/>
  <c r="H71" i="3"/>
  <c r="I71" i="3" s="1"/>
  <c r="H70" i="3"/>
  <c r="I70" i="3" s="1"/>
  <c r="H68" i="3"/>
  <c r="I68" i="3" s="1"/>
  <c r="H67" i="3"/>
  <c r="I67" i="3" s="1"/>
  <c r="J53" i="3" l="1"/>
  <c r="K53" i="3"/>
  <c r="J76" i="3"/>
  <c r="K76" i="3"/>
  <c r="K100" i="3"/>
  <c r="J100" i="3"/>
  <c r="J124" i="3"/>
  <c r="K124" i="3"/>
  <c r="J31" i="3"/>
  <c r="K31" i="3"/>
  <c r="J55" i="3"/>
  <c r="K55" i="3"/>
  <c r="K29" i="3"/>
  <c r="J29" i="3"/>
  <c r="K77" i="3"/>
  <c r="J77" i="3"/>
  <c r="J101" i="3"/>
  <c r="K101" i="3"/>
  <c r="K125" i="3"/>
  <c r="J125" i="3"/>
  <c r="J32" i="3"/>
  <c r="K32" i="3"/>
  <c r="K56" i="3"/>
  <c r="J56" i="3"/>
  <c r="J58" i="3"/>
  <c r="K58" i="3"/>
  <c r="J80" i="3"/>
  <c r="K80" i="3"/>
  <c r="J104" i="3"/>
  <c r="K104" i="3"/>
  <c r="J11" i="3"/>
  <c r="K11" i="3"/>
  <c r="J35" i="3"/>
  <c r="K35" i="3"/>
  <c r="J59" i="3"/>
  <c r="K59" i="3"/>
  <c r="J103" i="3"/>
  <c r="K103" i="3"/>
  <c r="K82" i="3"/>
  <c r="J82" i="3"/>
  <c r="J106" i="3"/>
  <c r="K106" i="3"/>
  <c r="K13" i="3"/>
  <c r="J13" i="3"/>
  <c r="J37" i="3"/>
  <c r="K37" i="3"/>
  <c r="K61" i="3"/>
  <c r="J61" i="3"/>
  <c r="K83" i="3"/>
  <c r="J83" i="3"/>
  <c r="K107" i="3"/>
  <c r="J107" i="3"/>
  <c r="K14" i="3"/>
  <c r="J14" i="3"/>
  <c r="J38" i="3"/>
  <c r="K38" i="3"/>
  <c r="K62" i="3"/>
  <c r="J62" i="3"/>
  <c r="J79" i="3"/>
  <c r="K79" i="3"/>
  <c r="J85" i="3"/>
  <c r="K85" i="3"/>
  <c r="K109" i="3"/>
  <c r="J109" i="3"/>
  <c r="J16" i="3"/>
  <c r="K16" i="3"/>
  <c r="K40" i="3"/>
  <c r="J40" i="3"/>
  <c r="J64" i="3"/>
  <c r="K64" i="3"/>
  <c r="J10" i="3"/>
  <c r="K10" i="3"/>
  <c r="K86" i="3"/>
  <c r="J86" i="3"/>
  <c r="K110" i="3"/>
  <c r="J110" i="3"/>
  <c r="K17" i="3"/>
  <c r="J17" i="3"/>
  <c r="K41" i="3"/>
  <c r="J41" i="3"/>
  <c r="K65" i="3"/>
  <c r="J65" i="3"/>
  <c r="K74" i="3"/>
  <c r="J74" i="3"/>
  <c r="J88" i="3"/>
  <c r="K88" i="3"/>
  <c r="J112" i="3"/>
  <c r="K112" i="3"/>
  <c r="J19" i="3"/>
  <c r="K19" i="3"/>
  <c r="K43" i="3"/>
  <c r="J43" i="3"/>
  <c r="J128" i="3"/>
  <c r="K128" i="3"/>
  <c r="J89" i="3"/>
  <c r="K89" i="3"/>
  <c r="K113" i="3"/>
  <c r="J113" i="3"/>
  <c r="J20" i="3"/>
  <c r="K20" i="3"/>
  <c r="K44" i="3"/>
  <c r="J44" i="3"/>
  <c r="K34" i="3"/>
  <c r="J34" i="3"/>
  <c r="J67" i="3"/>
  <c r="K67" i="3"/>
  <c r="J91" i="3"/>
  <c r="K91" i="3"/>
  <c r="K115" i="3"/>
  <c r="J115" i="3"/>
  <c r="J22" i="3"/>
  <c r="K22" i="3"/>
  <c r="K46" i="3"/>
  <c r="J46" i="3"/>
  <c r="K68" i="3"/>
  <c r="J68" i="3"/>
  <c r="J92" i="3"/>
  <c r="K92" i="3"/>
  <c r="K116" i="3"/>
  <c r="J116" i="3"/>
  <c r="J23" i="3"/>
  <c r="K23" i="3"/>
  <c r="J47" i="3"/>
  <c r="K47" i="3"/>
  <c r="K98" i="3"/>
  <c r="J98" i="3"/>
  <c r="J70" i="3"/>
  <c r="K70" i="3"/>
  <c r="K94" i="3"/>
  <c r="J94" i="3"/>
  <c r="J118" i="3"/>
  <c r="K118" i="3"/>
  <c r="J25" i="3"/>
  <c r="K25" i="3"/>
  <c r="K49" i="3"/>
  <c r="J49" i="3"/>
  <c r="K122" i="3"/>
  <c r="J122" i="3"/>
  <c r="J71" i="3"/>
  <c r="K71" i="3"/>
  <c r="J95" i="3"/>
  <c r="K95" i="3"/>
  <c r="K119" i="3"/>
  <c r="J119" i="3"/>
  <c r="J26" i="3"/>
  <c r="K26" i="3"/>
  <c r="K50" i="3"/>
  <c r="J50" i="3"/>
  <c r="J73" i="3"/>
  <c r="K73" i="3"/>
  <c r="K97" i="3"/>
  <c r="J97" i="3"/>
  <c r="J121" i="3"/>
  <c r="K121" i="3"/>
  <c r="J28" i="3"/>
  <c r="K28" i="3"/>
  <c r="K52" i="3"/>
  <c r="J52" i="3"/>
  <c r="H131" i="3"/>
  <c r="I154" i="3"/>
  <c r="H157" i="3"/>
  <c r="H156" i="3"/>
  <c r="I153" i="3"/>
  <c r="H129" i="3"/>
  <c r="H132" i="3" s="1"/>
  <c r="K154" i="3" l="1"/>
  <c r="J154" i="3"/>
  <c r="K153" i="3"/>
  <c r="J153" i="3"/>
  <c r="I156" i="3"/>
  <c r="H159" i="3"/>
  <c r="H160" i="3"/>
  <c r="I157" i="3"/>
  <c r="I131" i="3"/>
  <c r="H134" i="3"/>
  <c r="I129" i="3"/>
  <c r="J131" i="3" l="1"/>
  <c r="K131" i="3"/>
  <c r="J129" i="3"/>
  <c r="K129" i="3"/>
  <c r="K156" i="3"/>
  <c r="J156" i="3"/>
  <c r="K157" i="3"/>
  <c r="J157" i="3"/>
  <c r="I160" i="3"/>
  <c r="H163" i="3"/>
  <c r="I159" i="3"/>
  <c r="H162" i="3"/>
  <c r="I132" i="3"/>
  <c r="H135" i="3"/>
  <c r="H137" i="3"/>
  <c r="I134" i="3"/>
  <c r="K132" i="3" l="1"/>
  <c r="J132" i="3"/>
  <c r="J159" i="3"/>
  <c r="K159" i="3"/>
  <c r="K134" i="3"/>
  <c r="J134" i="3"/>
  <c r="K160" i="3"/>
  <c r="J160" i="3"/>
  <c r="I163" i="3"/>
  <c r="H166" i="3"/>
  <c r="I162" i="3"/>
  <c r="H165" i="3"/>
  <c r="I137" i="3"/>
  <c r="H140" i="3"/>
  <c r="I135" i="3"/>
  <c r="H138" i="3"/>
  <c r="K162" i="3" l="1"/>
  <c r="J162" i="3"/>
  <c r="J137" i="3"/>
  <c r="K137" i="3"/>
  <c r="K163" i="3"/>
  <c r="J163" i="3"/>
  <c r="K135" i="3"/>
  <c r="J135" i="3"/>
  <c r="I166" i="3"/>
  <c r="H169" i="3"/>
  <c r="H168" i="3"/>
  <c r="I165" i="3"/>
  <c r="I138" i="3"/>
  <c r="H141" i="3"/>
  <c r="I140" i="3"/>
  <c r="H143" i="3"/>
  <c r="J140" i="3" l="1"/>
  <c r="K140" i="3"/>
  <c r="K138" i="3"/>
  <c r="J138" i="3"/>
  <c r="J165" i="3"/>
  <c r="K165" i="3"/>
  <c r="J166" i="3"/>
  <c r="K166" i="3"/>
  <c r="I168" i="3"/>
  <c r="H171" i="3"/>
  <c r="I169" i="3"/>
  <c r="H172" i="3"/>
  <c r="I141" i="3"/>
  <c r="H144" i="3"/>
  <c r="I143" i="3"/>
  <c r="H146" i="3"/>
  <c r="J169" i="3" l="1"/>
  <c r="K169" i="3"/>
  <c r="K141" i="3"/>
  <c r="J141" i="3"/>
  <c r="K168" i="3"/>
  <c r="J168" i="3"/>
  <c r="J143" i="3"/>
  <c r="K143" i="3"/>
  <c r="H175" i="3"/>
  <c r="I172" i="3"/>
  <c r="I171" i="3"/>
  <c r="H174" i="3"/>
  <c r="H147" i="3"/>
  <c r="I144" i="3"/>
  <c r="I146" i="3"/>
  <c r="H149" i="3"/>
  <c r="I149" i="3" s="1"/>
  <c r="K146" i="3" l="1"/>
  <c r="J146" i="3"/>
  <c r="K172" i="3"/>
  <c r="J172" i="3"/>
  <c r="K144" i="3"/>
  <c r="J144" i="3"/>
  <c r="J149" i="3"/>
  <c r="K149" i="3"/>
  <c r="J171" i="3"/>
  <c r="K171" i="3"/>
  <c r="I175" i="3"/>
  <c r="H178" i="3"/>
  <c r="I178" i="3" s="1"/>
  <c r="I174" i="3"/>
  <c r="H177" i="3"/>
  <c r="I177" i="3" s="1"/>
  <c r="I147" i="3"/>
  <c r="H150" i="3"/>
  <c r="I150" i="3" s="1"/>
  <c r="J150" i="3" l="1"/>
  <c r="K150" i="3"/>
  <c r="J177" i="3"/>
  <c r="K177" i="3"/>
  <c r="K178" i="3"/>
  <c r="J178" i="3"/>
  <c r="K174" i="3"/>
  <c r="J174" i="3"/>
  <c r="J175" i="3"/>
  <c r="K175" i="3"/>
  <c r="K147" i="3"/>
  <c r="J147" i="3"/>
  <c r="C237" i="3" l="1"/>
  <c r="C239" i="3" s="1"/>
  <c r="C242" i="3" l="1"/>
  <c r="C243" i="3" s="1"/>
  <c r="C245" i="3"/>
  <c r="C24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26" authorId="0" shapeId="0" xr:uid="{17E52BA7-7718-4ECA-BFBA-E3D49799DDA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web stifferner spacing</t>
        </r>
      </text>
    </comment>
  </commentList>
</comments>
</file>

<file path=xl/sharedStrings.xml><?xml version="1.0" encoding="utf-8"?>
<sst xmlns="http://schemas.openxmlformats.org/spreadsheetml/2006/main" count="312" uniqueCount="172">
  <si>
    <t>LOA</t>
  </si>
  <si>
    <t>Breadth</t>
  </si>
  <si>
    <t>Height</t>
  </si>
  <si>
    <t>Draught</t>
  </si>
  <si>
    <t>100,58 m</t>
  </si>
  <si>
    <t>6,09 m</t>
  </si>
  <si>
    <t>4,79 m</t>
  </si>
  <si>
    <t>Main Dimension</t>
  </si>
  <si>
    <t>https://www.matweb.com/search/datasheet.aspx?MatGUID=afc003f4fb40465fa3df05129f0e88e6&amp;ckck=1</t>
  </si>
  <si>
    <t>A36 Steel</t>
  </si>
  <si>
    <t>Yield [Mpa]</t>
  </si>
  <si>
    <t>https://www.researchgate.net/publication/343187872_Effect_Variations_And_Types_of_Smaw_Welding_Electrodes_on_A36_Steel_to_Tensile_Test</t>
  </si>
  <si>
    <t>https://gengfeisteel.com/knowledge/astm-a36-steel/</t>
  </si>
  <si>
    <t>https://ejournal.upbatam.ac.id/index.php/rsi/article/view/522/345</t>
  </si>
  <si>
    <t>https://ppid.kkp.go.id/upt/bppp-tegal/galeri/detail/peringatan-dini-gelombang-tinggi/</t>
  </si>
  <si>
    <t>No</t>
  </si>
  <si>
    <t>Nama bagian</t>
  </si>
  <si>
    <t>Jml</t>
  </si>
  <si>
    <t>Lebar</t>
  </si>
  <si>
    <t>Tinggi</t>
  </si>
  <si>
    <t>Sudut Thdp</t>
  </si>
  <si>
    <t>Luas Total</t>
  </si>
  <si>
    <t xml:space="preserve">Titik berat thd Base </t>
  </si>
  <si>
    <t xml:space="preserve">Momen Luas  </t>
  </si>
  <si>
    <t>Momen Inersia</t>
  </si>
  <si>
    <t>M.Inersia Individu</t>
  </si>
  <si>
    <t>Bid. Horizontal</t>
  </si>
  <si>
    <r>
      <rPr>
        <sz val="10"/>
        <rFont val="Times New Roman"/>
        <family val="1"/>
      </rPr>
      <t>( cm</t>
    </r>
    <r>
      <rPr>
        <vertAlign val="superscript"/>
        <sz val="10"/>
        <color indexed="8"/>
        <rFont val="Times New Roman"/>
        <family val="1"/>
      </rPr>
      <t xml:space="preserve"> </t>
    </r>
    <r>
      <rPr>
        <sz val="10"/>
        <color indexed="8"/>
        <rFont val="Times New Roman"/>
        <family val="1"/>
      </rPr>
      <t>)</t>
    </r>
  </si>
  <si>
    <r>
      <rPr>
        <sz val="10"/>
        <rFont val="Times New Roman"/>
        <family val="1"/>
      </rPr>
      <t>( cm</t>
    </r>
    <r>
      <rPr>
        <vertAlign val="superscript"/>
        <sz val="10"/>
        <rFont val="Times New Roman"/>
        <family val="1"/>
      </rPr>
      <t xml:space="preserve"> </t>
    </r>
    <r>
      <rPr>
        <sz val="10"/>
        <rFont val="Times New Roman"/>
        <family val="1"/>
      </rPr>
      <t>)</t>
    </r>
  </si>
  <si>
    <t>(derajat)</t>
  </si>
  <si>
    <r>
      <rPr>
        <sz val="10"/>
        <rFont val="Times New Roman"/>
        <family val="1"/>
      </rPr>
      <t>( cm</t>
    </r>
    <r>
      <rPr>
        <vertAlign val="superscript"/>
        <sz val="10"/>
        <rFont val="Times New Roman"/>
        <family val="1"/>
      </rPr>
      <t xml:space="preserve">2 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</si>
  <si>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( cm</t>
    </r>
    <r>
      <rPr>
        <vertAlign val="superscript"/>
        <sz val="10"/>
        <rFont val="Times New Roman"/>
        <family val="1"/>
      </rPr>
      <t xml:space="preserve">3 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</si>
  <si>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( cm</t>
    </r>
    <r>
      <rPr>
        <vertAlign val="superscript"/>
        <sz val="10"/>
        <rFont val="Times New Roman"/>
        <family val="1"/>
      </rPr>
      <t xml:space="preserve">4 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</si>
  <si>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Ix cos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a</t>
    </r>
  </si>
  <si>
    <r>
      <rPr>
        <sz val="10"/>
        <rFont val="Times New Roman"/>
        <family val="1"/>
      </rPr>
      <t>Iy sin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a</t>
    </r>
  </si>
  <si>
    <t>Io</t>
  </si>
  <si>
    <t xml:space="preserve"> [n] </t>
  </si>
  <si>
    <t>[ b ]</t>
  </si>
  <si>
    <t>[ h ]</t>
  </si>
  <si>
    <t>[ a ]</t>
  </si>
  <si>
    <r>
      <rPr>
        <sz val="10"/>
        <rFont val="Times New Roman"/>
        <family val="1"/>
      </rPr>
      <t>[ A</t>
    </r>
    <r>
      <rPr>
        <vertAlign val="subscript"/>
        <sz val="10"/>
        <rFont val="Times New Roman"/>
        <family val="1"/>
      </rPr>
      <t xml:space="preserve">T  </t>
    </r>
    <r>
      <rPr>
        <sz val="10"/>
        <rFont val="Times New Roman"/>
        <family val="1"/>
      </rPr>
      <t>]</t>
    </r>
  </si>
  <si>
    <t>[ Z ]</t>
  </si>
  <si>
    <r>
      <rPr>
        <sz val="10"/>
        <rFont val="Times New Roman"/>
        <family val="1"/>
      </rPr>
      <t>[ A</t>
    </r>
    <r>
      <rPr>
        <vertAlign val="subscript"/>
        <sz val="10"/>
        <rFont val="Times New Roman"/>
        <family val="1"/>
      </rPr>
      <t xml:space="preserve">T </t>
    </r>
    <r>
      <rPr>
        <sz val="10"/>
        <rFont val="Times New Roman"/>
        <family val="1"/>
      </rPr>
      <t xml:space="preserve"> x z ]</t>
    </r>
  </si>
  <si>
    <r>
      <rPr>
        <sz val="10"/>
        <rFont val="Times New Roman"/>
        <family val="1"/>
      </rPr>
      <t>[ A</t>
    </r>
    <r>
      <rPr>
        <vertAlign val="subscript"/>
        <sz val="10"/>
        <rFont val="Times New Roman"/>
        <family val="1"/>
      </rPr>
      <t>T</t>
    </r>
    <r>
      <rPr>
        <sz val="10"/>
        <rFont val="Times New Roman"/>
        <family val="1"/>
      </rPr>
      <t xml:space="preserve"> x z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]</t>
    </r>
  </si>
  <si>
    <r>
      <rPr>
        <sz val="10"/>
        <rFont val="Times New Roman"/>
        <family val="1"/>
      </rPr>
      <t>[ Ix = 1/12 x b x h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 ]</t>
    </r>
  </si>
  <si>
    <r>
      <rPr>
        <sz val="10"/>
        <rFont val="Times New Roman"/>
        <family val="1"/>
      </rPr>
      <t>[ Iy = 1/12 x h x b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 ]</t>
    </r>
  </si>
  <si>
    <r>
      <rPr>
        <sz val="10"/>
        <rFont val="Times New Roman"/>
        <family val="1"/>
      </rPr>
      <t>[ Ix cos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a + Iy sin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a ]</t>
    </r>
  </si>
  <si>
    <t>Long Stiff Bottom 1</t>
  </si>
  <si>
    <t>Long Stiff Bottom 2</t>
  </si>
  <si>
    <t>Long Stiff Bottom 3</t>
  </si>
  <si>
    <t>Long Stiff Bottom 4</t>
  </si>
  <si>
    <t>Long Stiff Bottom 5</t>
  </si>
  <si>
    <t>Long Stiff Bottom 6</t>
  </si>
  <si>
    <t>Long Stiff Bottom 7</t>
  </si>
  <si>
    <t>Long Stiff Bottom 8</t>
  </si>
  <si>
    <t>Long Stiff Bottom 9</t>
  </si>
  <si>
    <t>Long Stiff Bottom 10</t>
  </si>
  <si>
    <t>Long Stiff Bottom 11</t>
  </si>
  <si>
    <t>Long Stiff Bottom 12</t>
  </si>
  <si>
    <t>Long Stiff Bottom 13</t>
  </si>
  <si>
    <t>Long Stiff Bottom 14</t>
  </si>
  <si>
    <t>Long Stiff Bottom 15</t>
  </si>
  <si>
    <t>Long Stiff Bottom 16</t>
  </si>
  <si>
    <t>Long Stiff Bottom 17</t>
  </si>
  <si>
    <t>Long Stiff Bottom 18</t>
  </si>
  <si>
    <t>Long Stiff Bottom 19</t>
  </si>
  <si>
    <t>Long Stiff Deck 1</t>
  </si>
  <si>
    <t>Long Stiff Deck 2</t>
  </si>
  <si>
    <t>Long Stiff Deck 3</t>
  </si>
  <si>
    <t>Long Stiff Deck 4</t>
  </si>
  <si>
    <t>Long Stiff Deck 5</t>
  </si>
  <si>
    <t>Long Stiff Deck 6</t>
  </si>
  <si>
    <t>Long Stiff Deck 7</t>
  </si>
  <si>
    <t>Long Stiff Deck 8</t>
  </si>
  <si>
    <t>Long Stiff Deck 9</t>
  </si>
  <si>
    <t>Long Stiff Deck 10</t>
  </si>
  <si>
    <t>Long Stiff Deck 11</t>
  </si>
  <si>
    <t>Long Stiff Deck 12</t>
  </si>
  <si>
    <t>Long Stiff Deck 13</t>
  </si>
  <si>
    <t>Long Stiff Deck 14</t>
  </si>
  <si>
    <t>Long Stiff Deck 15</t>
  </si>
  <si>
    <t>Long Stiff Deck 16</t>
  </si>
  <si>
    <t>Long Stiff Deck 17</t>
  </si>
  <si>
    <t>Long Stiff Deck 18</t>
  </si>
  <si>
    <t>Long Stiff Deck 19</t>
  </si>
  <si>
    <t>Long Stiff Deck 20</t>
  </si>
  <si>
    <t>Pelat Bilga</t>
  </si>
  <si>
    <t>Neutral Axis</t>
  </si>
  <si>
    <t>menghitung z (titik berat0</t>
  </si>
  <si>
    <t>-Web</t>
  </si>
  <si>
    <t>-Frame</t>
  </si>
  <si>
    <t>Tinggi dari Base</t>
  </si>
  <si>
    <t>(cm)</t>
  </si>
  <si>
    <r>
      <t>(H</t>
    </r>
    <r>
      <rPr>
        <vertAlign val="subscript"/>
        <sz val="10"/>
        <rFont val="Times New Roman"/>
        <family val="1"/>
      </rPr>
      <t>base</t>
    </r>
    <r>
      <rPr>
        <sz val="10"/>
        <rFont val="Times New Roman"/>
        <family val="1"/>
      </rPr>
      <t>)</t>
    </r>
  </si>
  <si>
    <t>Long Stiff Side Shell 1</t>
  </si>
  <si>
    <t>Long Stiff Side Shell 2</t>
  </si>
  <si>
    <t>Long Stiff Side Shell 3</t>
  </si>
  <si>
    <t>Long Stiff Side Shell 4</t>
  </si>
  <si>
    <t>Long Stiff Side Shell 5</t>
  </si>
  <si>
    <t>Long Stiff Side Shell 6</t>
  </si>
  <si>
    <t>Long Stiff Side Shell 7</t>
  </si>
  <si>
    <t>Long Stiff Side Shell 8</t>
  </si>
  <si>
    <t>Long Stiff Web 1</t>
  </si>
  <si>
    <t>Long Stiff Web 2</t>
  </si>
  <si>
    <t>Long Stiff Web 3</t>
  </si>
  <si>
    <t>Long Stiff Web 4</t>
  </si>
  <si>
    <t>Long Stiff Web 5</t>
  </si>
  <si>
    <t>Long Stiff Web 6</t>
  </si>
  <si>
    <t>Long Stiff Web 7</t>
  </si>
  <si>
    <t>Long Stiff Web 8</t>
  </si>
  <si>
    <t>Long Stiff Web 9</t>
  </si>
  <si>
    <t>Long Stiff CL 1</t>
  </si>
  <si>
    <t>Long Stiff CL 2</t>
  </si>
  <si>
    <t>Long Stiff CL 3</t>
  </si>
  <si>
    <t>Long Stiff CL 4</t>
  </si>
  <si>
    <t>Long Stiff CL 5</t>
  </si>
  <si>
    <t>Long Stiff CL 6</t>
  </si>
  <si>
    <t>Long Stiff CL 7</t>
  </si>
  <si>
    <t>Long Stiff CL 8</t>
  </si>
  <si>
    <t>Long Stiff CL 9</t>
  </si>
  <si>
    <t>SEKAT MEMANJANG CL</t>
  </si>
  <si>
    <t>SEKAT MEMANJANG P/S</t>
  </si>
  <si>
    <t>Bilga</t>
  </si>
  <si>
    <t>Hopper Dalam</t>
  </si>
  <si>
    <t>Chine Luar</t>
  </si>
  <si>
    <t>Judul</t>
  </si>
  <si>
    <t>No1</t>
  </si>
  <si>
    <t>Uu</t>
  </si>
  <si>
    <t>ds</t>
  </si>
  <si>
    <t>sfsaf</t>
  </si>
  <si>
    <t>Pembujur Web</t>
  </si>
  <si>
    <t>Pembujur Frame</t>
  </si>
  <si>
    <t>SIGMA 2</t>
  </si>
  <si>
    <t>SIGMA 1</t>
  </si>
  <si>
    <t>SIGMA 3</t>
  </si>
  <si>
    <t>SIGMA 4</t>
  </si>
  <si>
    <t>Kalkulasi Neutral Axis</t>
  </si>
  <si>
    <t>S2 / S1</t>
  </si>
  <si>
    <t>cm</t>
  </si>
  <si>
    <t>27,432 m</t>
  </si>
  <si>
    <r>
      <t>H-Z</t>
    </r>
    <r>
      <rPr>
        <vertAlign val="subscript"/>
        <sz val="11"/>
        <color theme="1"/>
        <rFont val="Calibri"/>
        <family val="2"/>
        <scheme val="minor"/>
      </rPr>
      <t>1</t>
    </r>
  </si>
  <si>
    <r>
      <t>Titik Berat terhadap dasar [Z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charset val="1"/>
        <scheme val="minor"/>
      </rPr>
      <t>]</t>
    </r>
  </si>
  <si>
    <r>
      <t>Titik Berat terhadap dek [Z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charset val="1"/>
        <scheme val="minor"/>
      </rPr>
      <t>]</t>
    </r>
  </si>
  <si>
    <t>H =</t>
  </si>
  <si>
    <t>m</t>
  </si>
  <si>
    <r>
      <rPr>
        <sz val="10"/>
        <rFont val="Arial"/>
        <family val="2"/>
      </rPr>
      <t>I</t>
    </r>
    <r>
      <rPr>
        <vertAlign val="subscript"/>
        <sz val="10"/>
        <rFont val="Arial"/>
        <family val="2"/>
      </rPr>
      <t>xx</t>
    </r>
    <r>
      <rPr>
        <sz val="10"/>
        <rFont val="Arial"/>
        <family val="2"/>
      </rPr>
      <t xml:space="preserve"> = </t>
    </r>
    <r>
      <rPr>
        <sz val="10"/>
        <rFont val="Symbol"/>
        <family val="1"/>
        <charset val="2"/>
      </rPr>
      <t>S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 xml:space="preserve"> + </t>
    </r>
    <r>
      <rPr>
        <sz val="10"/>
        <rFont val="Symbol"/>
        <family val="1"/>
        <charset val="2"/>
      </rPr>
      <t>S</t>
    </r>
    <r>
      <rPr>
        <vertAlign val="subscript"/>
        <sz val="10"/>
        <rFont val="Arial"/>
        <family val="2"/>
      </rPr>
      <t xml:space="preserve">4  </t>
    </r>
    <r>
      <rPr>
        <sz val="10"/>
        <rFont val="Arial"/>
        <family val="2"/>
      </rPr>
      <t xml:space="preserve">                          =</t>
    </r>
  </si>
  <si>
    <r>
      <rPr>
        <sz val="10"/>
        <rFont val="Arial"/>
        <family val="2"/>
      </rPr>
      <t>I</t>
    </r>
    <r>
      <rPr>
        <vertAlign val="subscript"/>
        <sz val="10"/>
        <rFont val="Arial"/>
        <family val="2"/>
      </rPr>
      <t>NA</t>
    </r>
    <r>
      <rPr>
        <sz val="10"/>
        <rFont val="Arial"/>
        <family val="2"/>
      </rPr>
      <t xml:space="preserve"> = I</t>
    </r>
    <r>
      <rPr>
        <vertAlign val="subscript"/>
        <sz val="10"/>
        <rFont val="Arial"/>
        <family val="2"/>
      </rPr>
      <t>XX</t>
    </r>
    <r>
      <rPr>
        <sz val="10"/>
        <rFont val="Arial"/>
        <family val="2"/>
      </rPr>
      <t xml:space="preserve"> - ( z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)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.</t>
    </r>
    <r>
      <rPr>
        <sz val="10"/>
        <rFont val="Symbol"/>
        <family val="1"/>
        <charset val="2"/>
      </rPr>
      <t>S</t>
    </r>
    <r>
      <rPr>
        <vertAlign val="subscript"/>
        <sz val="10"/>
        <rFont val="Symbol"/>
        <family val="1"/>
        <charset val="2"/>
      </rPr>
      <t>1</t>
    </r>
    <r>
      <rPr>
        <sz val="10"/>
        <rFont val="Arial"/>
        <family val="2"/>
      </rPr>
      <t xml:space="preserve">                   =</t>
    </r>
  </si>
  <si>
    <t>Modulus Penampang thdp Bottom</t>
  </si>
  <si>
    <r>
      <t>W</t>
    </r>
    <r>
      <rPr>
        <vertAlign val="subscript"/>
        <sz val="11"/>
        <color theme="1"/>
        <rFont val="Calibri"/>
        <family val="2"/>
        <scheme val="minor"/>
      </rPr>
      <t>bot</t>
    </r>
    <r>
      <rPr>
        <sz val="11"/>
        <color theme="1"/>
        <rFont val="Calibri"/>
        <family val="2"/>
        <charset val="1"/>
        <scheme val="minor"/>
      </rPr>
      <t xml:space="preserve"> = I</t>
    </r>
    <r>
      <rPr>
        <vertAlign val="subscript"/>
        <sz val="11"/>
        <color theme="1"/>
        <rFont val="Calibri"/>
        <family val="2"/>
        <scheme val="minor"/>
      </rPr>
      <t>NA</t>
    </r>
    <r>
      <rPr>
        <sz val="11"/>
        <color theme="1"/>
        <rFont val="Calibri"/>
        <family val="2"/>
        <charset val="1"/>
        <scheme val="minor"/>
      </rPr>
      <t>/Z</t>
    </r>
    <r>
      <rPr>
        <vertAlign val="subscript"/>
        <sz val="11"/>
        <color theme="1"/>
        <rFont val="Calibri"/>
        <family val="2"/>
        <scheme val="minor"/>
      </rPr>
      <t>1</t>
    </r>
  </si>
  <si>
    <r>
      <t>W</t>
    </r>
    <r>
      <rPr>
        <vertAlign val="subscript"/>
        <sz val="11"/>
        <color theme="1"/>
        <rFont val="Calibri"/>
        <family val="2"/>
        <scheme val="minor"/>
      </rPr>
      <t>deck</t>
    </r>
    <r>
      <rPr>
        <sz val="11"/>
        <color theme="1"/>
        <rFont val="Calibri"/>
        <family val="2"/>
        <charset val="1"/>
        <scheme val="minor"/>
      </rPr>
      <t xml:space="preserve"> = I</t>
    </r>
    <r>
      <rPr>
        <vertAlign val="subscript"/>
        <sz val="11"/>
        <color theme="1"/>
        <rFont val="Calibri"/>
        <family val="2"/>
        <scheme val="minor"/>
      </rPr>
      <t>NA</t>
    </r>
    <r>
      <rPr>
        <sz val="11"/>
        <color theme="1"/>
        <rFont val="Calibri"/>
        <family val="2"/>
        <charset val="1"/>
        <scheme val="minor"/>
      </rPr>
      <t>/Z</t>
    </r>
    <r>
      <rPr>
        <vertAlign val="subscript"/>
        <sz val="11"/>
        <color theme="1"/>
        <rFont val="Calibri"/>
        <family val="2"/>
        <scheme val="minor"/>
      </rPr>
      <t>2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</si>
  <si>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4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</si>
  <si>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</si>
  <si>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</si>
  <si>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k</t>
  </si>
  <si>
    <r>
      <t>C</t>
    </r>
    <r>
      <rPr>
        <vertAlign val="subscript"/>
        <sz val="11"/>
        <color theme="1"/>
        <rFont val="Calibri"/>
        <family val="2"/>
        <scheme val="minor"/>
      </rPr>
      <t>0</t>
    </r>
  </si>
  <si>
    <r>
      <t>L</t>
    </r>
    <r>
      <rPr>
        <vertAlign val="superscript"/>
        <sz val="11"/>
        <color theme="1"/>
        <rFont val="Calibri"/>
        <family val="2"/>
        <scheme val="minor"/>
      </rPr>
      <t>2</t>
    </r>
  </si>
  <si>
    <t>B</t>
  </si>
  <si>
    <r>
      <t>C</t>
    </r>
    <r>
      <rPr>
        <vertAlign val="subscript"/>
        <sz val="11"/>
        <color theme="1"/>
        <rFont val="Calibri"/>
        <family val="2"/>
        <scheme val="minor"/>
      </rPr>
      <t>B</t>
    </r>
  </si>
  <si>
    <r>
      <t>W</t>
    </r>
    <r>
      <rPr>
        <vertAlign val="subscript"/>
        <sz val="11"/>
        <color theme="1"/>
        <rFont val="Calibri"/>
        <family val="2"/>
        <scheme val="minor"/>
      </rPr>
      <t>min</t>
    </r>
  </si>
  <si>
    <t>Iyy</t>
  </si>
  <si>
    <t>Ixx</t>
  </si>
  <si>
    <t>Izz</t>
  </si>
  <si>
    <t xml:space="preserve">0.4 * </t>
  </si>
  <si>
    <t>0.2 *</t>
  </si>
  <si>
    <t>Pelat Sisi</t>
  </si>
  <si>
    <t>Pelat Bottom 1</t>
  </si>
  <si>
    <t>Pelat Bottom 2</t>
  </si>
  <si>
    <t>Pelat Bottom 3</t>
  </si>
  <si>
    <t>Pelat Bottom 4</t>
  </si>
  <si>
    <t>Pelat</t>
  </si>
  <si>
    <t>Pelat Deck</t>
  </si>
  <si>
    <t>Modulus Penampang thdp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</si>
</sst>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.000_-;\-* #,##0.000_-;_-* &quot;-&quot;??_-;_-@_-"/>
  </numFmts>
  <fonts count="23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vertAlign val="superscript"/>
      <sz val="10"/>
      <color indexed="8"/>
      <name val="Times New Roman"/>
      <family val="1"/>
    </font>
    <font>
      <sz val="10"/>
      <color indexed="8"/>
      <name val="Times New Roman"/>
      <family val="1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bscript"/>
      <sz val="10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16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2" fontId="4" fillId="0" borderId="0"/>
    <xf numFmtId="0" fontId="4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43" fontId="14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8" fillId="2" borderId="8" xfId="13" applyFont="1" applyFill="1" applyBorder="1" applyAlignment="1">
      <alignment horizontal="center" vertical="center"/>
    </xf>
    <xf numFmtId="0" fontId="8" fillId="2" borderId="2" xfId="13" applyFont="1" applyFill="1" applyBorder="1" applyAlignment="1">
      <alignment horizontal="center" vertical="top" wrapText="1"/>
    </xf>
    <xf numFmtId="0" fontId="8" fillId="2" borderId="4" xfId="13" applyFont="1" applyFill="1" applyBorder="1" applyAlignment="1">
      <alignment horizontal="center" vertical="top" wrapText="1"/>
    </xf>
    <xf numFmtId="0" fontId="8" fillId="2" borderId="7" xfId="13" applyFont="1" applyFill="1" applyBorder="1" applyAlignment="1">
      <alignment horizontal="center" vertical="center"/>
    </xf>
    <xf numFmtId="0" fontId="8" fillId="2" borderId="0" xfId="13" applyFont="1" applyFill="1" applyAlignment="1">
      <alignment horizontal="center" vertical="top" wrapText="1"/>
    </xf>
    <xf numFmtId="0" fontId="8" fillId="2" borderId="3" xfId="13" applyFont="1" applyFill="1" applyBorder="1" applyAlignment="1">
      <alignment horizontal="center" vertical="top" wrapText="1"/>
    </xf>
    <xf numFmtId="0" fontId="7" fillId="2" borderId="3" xfId="13" applyFont="1" applyFill="1" applyBorder="1" applyAlignment="1">
      <alignment horizontal="center" vertical="center"/>
    </xf>
    <xf numFmtId="0" fontId="6" fillId="2" borderId="7" xfId="13" applyFont="1" applyFill="1" applyBorder="1" applyAlignment="1">
      <alignment horizontal="center"/>
    </xf>
    <xf numFmtId="0" fontId="6" fillId="2" borderId="0" xfId="13" applyFont="1" applyFill="1" applyAlignment="1">
      <alignment horizontal="center"/>
    </xf>
    <xf numFmtId="0" fontId="6" fillId="2" borderId="2" xfId="13" applyFont="1" applyFill="1" applyBorder="1" applyAlignment="1">
      <alignment horizontal="center"/>
    </xf>
    <xf numFmtId="0" fontId="6" fillId="2" borderId="4" xfId="13" applyFont="1" applyFill="1" applyBorder="1" applyAlignment="1">
      <alignment horizontal="center"/>
    </xf>
    <xf numFmtId="0" fontId="6" fillId="2" borderId="8" xfId="13" applyFont="1" applyFill="1" applyBorder="1" applyAlignment="1">
      <alignment horizontal="center"/>
    </xf>
    <xf numFmtId="0" fontId="7" fillId="2" borderId="3" xfId="13" applyFont="1" applyFill="1" applyBorder="1" applyAlignment="1">
      <alignment horizontal="center"/>
    </xf>
    <xf numFmtId="0" fontId="6" fillId="2" borderId="3" xfId="13" applyFont="1" applyFill="1" applyBorder="1" applyAlignment="1">
      <alignment horizontal="center"/>
    </xf>
    <xf numFmtId="0" fontId="0" fillId="0" borderId="0" xfId="0" quotePrefix="1"/>
    <xf numFmtId="0" fontId="0" fillId="3" borderId="0" xfId="0" applyFill="1"/>
    <xf numFmtId="0" fontId="0" fillId="4" borderId="0" xfId="0" applyFill="1"/>
    <xf numFmtId="0" fontId="0" fillId="0" borderId="9" xfId="0" applyBorder="1"/>
    <xf numFmtId="43" fontId="0" fillId="0" borderId="0" xfId="15" applyFont="1"/>
    <xf numFmtId="43" fontId="0" fillId="0" borderId="0" xfId="15" applyFont="1" applyFill="1" applyBorder="1"/>
    <xf numFmtId="2" fontId="0" fillId="0" borderId="0" xfId="0" applyNumberFormat="1"/>
    <xf numFmtId="0" fontId="4" fillId="0" borderId="0" xfId="14" applyAlignment="1">
      <alignment horizontal="right"/>
    </xf>
    <xf numFmtId="43" fontId="0" fillId="0" borderId="0" xfId="0" applyNumberFormat="1"/>
    <xf numFmtId="164" fontId="0" fillId="0" borderId="0" xfId="0" applyNumberFormat="1"/>
    <xf numFmtId="0" fontId="8" fillId="2" borderId="8" xfId="13" applyFont="1" applyFill="1" applyBorder="1" applyAlignment="1">
      <alignment horizontal="center" vertical="top" wrapText="1"/>
    </xf>
    <xf numFmtId="0" fontId="7" fillId="2" borderId="7" xfId="13" applyFont="1" applyFill="1" applyBorder="1"/>
    <xf numFmtId="0" fontId="8" fillId="2" borderId="8" xfId="13" applyFont="1" applyFill="1" applyBorder="1" applyAlignment="1">
      <alignment horizontal="center" vertical="center"/>
    </xf>
    <xf numFmtId="0" fontId="8" fillId="2" borderId="7" xfId="13" applyFont="1" applyFill="1" applyBorder="1" applyAlignment="1">
      <alignment horizontal="center" vertical="center"/>
    </xf>
    <xf numFmtId="0" fontId="8" fillId="2" borderId="2" xfId="13" applyFont="1" applyFill="1" applyBorder="1" applyAlignment="1">
      <alignment horizontal="center" vertical="center"/>
    </xf>
    <xf numFmtId="0" fontId="8" fillId="2" borderId="0" xfId="13" applyFont="1" applyFill="1" applyAlignment="1">
      <alignment horizontal="center" vertical="center"/>
    </xf>
    <xf numFmtId="0" fontId="8" fillId="2" borderId="4" xfId="13" applyFont="1" applyFill="1" applyBorder="1" applyAlignment="1">
      <alignment horizontal="center" vertical="center"/>
    </xf>
    <xf numFmtId="0" fontId="8" fillId="2" borderId="3" xfId="13" applyFont="1" applyFill="1" applyBorder="1" applyAlignment="1">
      <alignment horizontal="center" vertical="center"/>
    </xf>
    <xf numFmtId="0" fontId="8" fillId="2" borderId="2" xfId="13" applyFont="1" applyFill="1" applyBorder="1" applyAlignment="1">
      <alignment horizontal="center" vertical="center" wrapText="1"/>
    </xf>
    <xf numFmtId="0" fontId="8" fillId="2" borderId="0" xfId="13" applyFont="1" applyFill="1" applyAlignment="1">
      <alignment horizontal="center" vertical="center" wrapText="1"/>
    </xf>
    <xf numFmtId="0" fontId="8" fillId="2" borderId="7" xfId="13" applyFont="1" applyFill="1" applyBorder="1" applyAlignment="1">
      <alignment horizontal="center" vertical="top" wrapText="1"/>
    </xf>
    <xf numFmtId="0" fontId="8" fillId="2" borderId="2" xfId="13" applyFont="1" applyFill="1" applyBorder="1" applyAlignment="1">
      <alignment horizontal="center" vertical="top" wrapText="1"/>
    </xf>
    <xf numFmtId="0" fontId="8" fillId="2" borderId="0" xfId="13" applyFont="1" applyFill="1" applyAlignment="1">
      <alignment horizontal="center" vertical="top" wrapText="1"/>
    </xf>
    <xf numFmtId="0" fontId="8" fillId="2" borderId="5" xfId="13" applyFont="1" applyFill="1" applyBorder="1" applyAlignment="1">
      <alignment horizontal="center" vertical="center" wrapText="1"/>
    </xf>
    <xf numFmtId="0" fontId="8" fillId="2" borderId="6" xfId="13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6">
    <cellStyle name="Comma" xfId="15" builtinId="3"/>
    <cellStyle name="Comma [0] 2" xfId="11" xr:uid="{0D5613CA-6861-404A-9C88-13D57FE4EB53}"/>
    <cellStyle name="Comma 2" xfId="12" xr:uid="{F166F85B-16C9-45ED-A755-CAD37A16A707}"/>
    <cellStyle name="Comma 3" xfId="3" xr:uid="{27C381AE-CA5E-49E6-ADB5-05119F6994C3}"/>
    <cellStyle name="Hyperlink" xfId="1" builtinId="8"/>
    <cellStyle name="Hyperlink 2" xfId="6" xr:uid="{3382DA00-004C-4372-8C05-CD890B411D0A}"/>
    <cellStyle name="Normal" xfId="0" builtinId="0"/>
    <cellStyle name="Normal 2" xfId="9" xr:uid="{01727F07-1B6D-4978-861F-6F73CF02039A}"/>
    <cellStyle name="Normal 3" xfId="10" xr:uid="{74ECCAE0-9DD5-418D-8CCC-01BECDEE2D94}"/>
    <cellStyle name="Normal 37" xfId="4" xr:uid="{E592F243-F034-4C37-833F-867D7C0B66F0}"/>
    <cellStyle name="Normal 4" xfId="7" xr:uid="{190EA9DA-B6B2-4C20-AB5B-9AAA4703C83A}"/>
    <cellStyle name="Normal 4 2" xfId="8" xr:uid="{E082C4A4-6D76-468E-B2F9-ECFBF0F4DBF3}"/>
    <cellStyle name="Normal 4 2 2" xfId="14" xr:uid="{3ED67F6B-568B-4543-8A25-349BF4E258D9}"/>
    <cellStyle name="Normal 5" xfId="13" xr:uid="{C23DC361-CABA-4945-82C6-C2CF85B26A17}"/>
    <cellStyle name="Normal 6" xfId="2" xr:uid="{219C0D39-A55B-4B5B-BF9A-3E000F68ABC0}"/>
    <cellStyle name="Percent 2" xfId="5" xr:uid="{07FF95BF-158F-40BE-85BE-8FDC12A013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442685</xdr:colOff>
      <xdr:row>8</xdr:row>
      <xdr:rowOff>99786</xdr:rowOff>
    </xdr:from>
    <xdr:to>
      <xdr:col>20</xdr:col>
      <xdr:colOff>451447</xdr:colOff>
      <xdr:row>37</xdr:row>
      <xdr:rowOff>166240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D66A5-1867-6BA4-F679-5709AA09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8328" y="1551215"/>
          <a:ext cx="6086619" cy="5327882"/>
        </a:xfrm>
        <a:prstGeom prst="rect">
          <a:avLst/>
        </a:prstGeom>
      </xdr:spPr>
    </xdr:pic>
    <xdr:clientData/>
  </xdr:twoCellAnchor>
  <xdr:twoCellAnchor editAs="oneCell">
    <xdr:from>
      <xdr:col>1</xdr:col>
      <xdr:colOff>84365</xdr:colOff>
      <xdr:row>10</xdr:row>
      <xdr:rowOff>150586</xdr:rowOff>
    </xdr:from>
    <xdr:to>
      <xdr:col>10</xdr:col>
      <xdr:colOff>169394</xdr:colOff>
      <xdr:row>34</xdr:row>
      <xdr:rowOff>175884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833A74-D46C-502E-A2EB-701F46CFD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9936" y="1964872"/>
          <a:ext cx="5555101" cy="43795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384313</xdr:colOff>
      <xdr:row>236</xdr:row>
      <xdr:rowOff>33131</xdr:rowOff>
    </xdr:from>
    <xdr:to>
      <xdr:col>10</xdr:col>
      <xdr:colOff>959656</xdr:colOff>
      <xdr:row>239</xdr:row>
      <xdr:rowOff>100514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4665EF-BB98-4A69-A154-C3278629C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122" y="42042522"/>
          <a:ext cx="5560675" cy="676983"/>
        </a:xfrm>
        <a:prstGeom prst="rect">
          <a:avLst/>
        </a:prstGeom>
      </xdr:spPr>
    </xdr:pic>
    <xdr:clientData/>
  </xdr:twoCellAnchor>
  <xdr:twoCellAnchor editAs="oneCell">
    <xdr:from>
      <xdr:col>10</xdr:col>
      <xdr:colOff>980721</xdr:colOff>
      <xdr:row>235</xdr:row>
      <xdr:rowOff>49389</xdr:rowOff>
    </xdr:from>
    <xdr:to>
      <xdr:col>15</xdr:col>
      <xdr:colOff>398356</xdr:colOff>
      <xdr:row>243</xdr:row>
      <xdr:rowOff>145484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260013-5E13-2D0D-6BAF-F940B5128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2888" y="43271722"/>
          <a:ext cx="5076190" cy="17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engfeisteel.com/knowledge/astm-a36-steel/" TargetMode="External"/><Relationship Id="rId2" Type="http://schemas.openxmlformats.org/officeDocument/2006/relationships/hyperlink" Target="https://www.researchgate.net/publication/343187872_Effect_Variations_And_Types_of_Smaw_Welding_Electrodes_on_A36_Steel_to_Tensile_Test" TargetMode="External"/><Relationship Id="rId1" Type="http://schemas.openxmlformats.org/officeDocument/2006/relationships/hyperlink" Target="https://www.matweb.com/search/datasheet.aspx?MatGUID=afc003f4fb40465fa3df05129f0e88e6&amp;ckck=1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ppid.kkp.go.id/upt/bppp-tegal/galeri/detail/peringatan-dini-gelombang-tinggi/" TargetMode="External"/><Relationship Id="rId4" Type="http://schemas.openxmlformats.org/officeDocument/2006/relationships/hyperlink" Target="https://ejournal.upbatam.ac.id/index.php/rsi/article/view/522/34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1AF1-CB08-430A-B335-BE105FC336F1}">
  <dimension ref="B1:H5"/>
  <sheetViews>
    <sheetView workbookViewId="0">
      <selection activeCell="F11" sqref="F11"/>
    </sheetView>
  </sheetViews>
  <sheetFormatPr defaultRowHeight="14.5"/>
  <cols>
    <col min="3" max="3" width="11.08984375" customWidth="1"/>
  </cols>
  <sheetData>
    <row r="1" spans="2:8">
      <c r="B1" s="42" t="s">
        <v>7</v>
      </c>
      <c r="C1" s="42"/>
    </row>
    <row r="2" spans="2:8">
      <c r="B2" s="1" t="s">
        <v>0</v>
      </c>
      <c r="C2" s="1" t="s">
        <v>4</v>
      </c>
      <c r="D2">
        <v>100.58</v>
      </c>
      <c r="G2" t="s">
        <v>159</v>
      </c>
      <c r="H2" s="17" t="s">
        <v>162</v>
      </c>
    </row>
    <row r="3" spans="2:8">
      <c r="B3" s="1" t="s">
        <v>1</v>
      </c>
      <c r="C3" s="1" t="s">
        <v>139</v>
      </c>
      <c r="D3">
        <v>27.431999999999999</v>
      </c>
      <c r="G3" t="s">
        <v>160</v>
      </c>
      <c r="H3" s="17" t="s">
        <v>163</v>
      </c>
    </row>
    <row r="4" spans="2:8">
      <c r="B4" s="1" t="s">
        <v>2</v>
      </c>
      <c r="C4" s="1" t="s">
        <v>5</v>
      </c>
      <c r="D4">
        <v>6.0960000000000001</v>
      </c>
      <c r="G4" t="s">
        <v>161</v>
      </c>
      <c r="H4" s="17" t="s">
        <v>163</v>
      </c>
    </row>
    <row r="5" spans="2:8">
      <c r="B5" s="1" t="s">
        <v>3</v>
      </c>
      <c r="C5" s="1" t="s">
        <v>6</v>
      </c>
      <c r="D5">
        <v>4.7969999999999997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B6B3-3DE7-4C27-8219-0C067BB57016}">
  <dimension ref="A1:C8"/>
  <sheetViews>
    <sheetView zoomScale="70" zoomScaleNormal="70" workbookViewId="0">
      <selection activeCell="U5" sqref="U5"/>
    </sheetView>
  </sheetViews>
  <sheetFormatPr defaultRowHeight="14.5"/>
  <cols>
    <col min="1" max="1" width="17.36328125" customWidth="1"/>
  </cols>
  <sheetData>
    <row r="1" spans="1:3">
      <c r="A1" t="s">
        <v>9</v>
      </c>
    </row>
    <row r="2" spans="1:3">
      <c r="B2" t="s">
        <v>10</v>
      </c>
    </row>
    <row r="3" spans="1:3">
      <c r="C3" s="2" t="s">
        <v>8</v>
      </c>
    </row>
    <row r="4" spans="1:3">
      <c r="C4" s="2" t="s">
        <v>11</v>
      </c>
    </row>
    <row r="5" spans="1:3">
      <c r="C5" s="2" t="s">
        <v>12</v>
      </c>
    </row>
    <row r="6" spans="1:3">
      <c r="C6" s="2" t="s">
        <v>13</v>
      </c>
    </row>
    <row r="8" spans="1:3">
      <c r="C8" s="2" t="s">
        <v>14</v>
      </c>
    </row>
  </sheetData>
  <hyperlinks>
    <hyperlink ref="C3" r:id="rId1" xr:uid="{F41D1ABB-3DA8-4F10-983F-6FABC4693502}"/>
    <hyperlink ref="C4" r:id="rId2" xr:uid="{1DBDF7FD-B8D4-4A4E-B914-FAEB954A224C}"/>
    <hyperlink ref="C5" r:id="rId3" xr:uid="{BBAA7FF7-9C14-4F47-85D9-55A0E7C7F00A}"/>
    <hyperlink ref="C6" r:id="rId4" xr:uid="{4E6C2905-02B8-4FEB-BA6D-8B1A245B052C}"/>
    <hyperlink ref="C8" r:id="rId5" xr:uid="{5A44DB55-664E-4BB1-AC01-03D916641174}"/>
  </hyperlink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BC94-F994-4E7E-B205-707DD6F0C92C}">
  <dimension ref="A1:N246"/>
  <sheetViews>
    <sheetView tabSelected="1" zoomScale="90" zoomScaleNormal="90" workbookViewId="0">
      <pane xSplit="1" ySplit="7" topLeftCell="B95" activePane="bottomRight" state="frozen"/>
      <selection pane="topRight" activeCell="B1" sqref="B1"/>
      <selection pane="bottomLeft" activeCell="A8" sqref="A8"/>
      <selection pane="bottomRight" activeCell="P98" sqref="P98"/>
    </sheetView>
  </sheetViews>
  <sheetFormatPr defaultRowHeight="14.5"/>
  <cols>
    <col min="2" max="2" width="26.1796875" customWidth="1"/>
    <col min="3" max="3" width="16.81640625" bestFit="1" customWidth="1"/>
    <col min="6" max="6" width="17.36328125" customWidth="1"/>
    <col min="7" max="7" width="10.453125" bestFit="1" customWidth="1"/>
    <col min="9" max="9" width="10.81640625" customWidth="1"/>
    <col min="10" max="10" width="16.54296875" customWidth="1"/>
    <col min="11" max="11" width="16.90625" customWidth="1"/>
    <col min="12" max="12" width="17" customWidth="1"/>
    <col min="13" max="13" width="20.36328125" customWidth="1"/>
    <col min="14" max="14" width="18.08984375" customWidth="1"/>
  </cols>
  <sheetData>
    <row r="1" spans="1:14">
      <c r="B1" t="s">
        <v>86</v>
      </c>
      <c r="C1" t="s">
        <v>87</v>
      </c>
      <c r="E1" t="s">
        <v>88</v>
      </c>
    </row>
    <row r="4" spans="1:14">
      <c r="A4" s="29" t="s">
        <v>15</v>
      </c>
      <c r="B4" s="31" t="s">
        <v>16</v>
      </c>
      <c r="C4" s="33" t="s">
        <v>17</v>
      </c>
      <c r="D4" s="29" t="s">
        <v>18</v>
      </c>
      <c r="E4" s="31" t="s">
        <v>19</v>
      </c>
      <c r="F4" s="3" t="s">
        <v>20</v>
      </c>
      <c r="G4" s="35" t="s">
        <v>21</v>
      </c>
      <c r="H4" s="40" t="s">
        <v>91</v>
      </c>
      <c r="I4" s="27" t="s">
        <v>22</v>
      </c>
      <c r="J4" s="38" t="s">
        <v>23</v>
      </c>
      <c r="K4" s="27" t="s">
        <v>24</v>
      </c>
      <c r="L4" s="4"/>
      <c r="M4" s="5"/>
      <c r="N4" s="27" t="s">
        <v>25</v>
      </c>
    </row>
    <row r="5" spans="1:14">
      <c r="A5" s="30"/>
      <c r="B5" s="32"/>
      <c r="C5" s="34"/>
      <c r="D5" s="30"/>
      <c r="E5" s="32"/>
      <c r="F5" s="6" t="s">
        <v>26</v>
      </c>
      <c r="G5" s="36"/>
      <c r="H5" s="41"/>
      <c r="I5" s="37"/>
      <c r="J5" s="39"/>
      <c r="K5" s="37"/>
      <c r="L5" s="7"/>
      <c r="M5" s="8"/>
      <c r="N5" s="28"/>
    </row>
    <row r="6" spans="1:14" ht="16">
      <c r="A6" s="30"/>
      <c r="B6" s="32"/>
      <c r="C6" s="9"/>
      <c r="D6" s="10" t="s">
        <v>27</v>
      </c>
      <c r="E6" s="11" t="s">
        <v>28</v>
      </c>
      <c r="F6" s="10" t="s">
        <v>29</v>
      </c>
      <c r="G6" s="11" t="s">
        <v>30</v>
      </c>
      <c r="H6" s="11" t="s">
        <v>92</v>
      </c>
      <c r="I6" s="10" t="s">
        <v>28</v>
      </c>
      <c r="J6" s="11" t="s">
        <v>31</v>
      </c>
      <c r="K6" s="10" t="s">
        <v>32</v>
      </c>
      <c r="L6" s="12" t="s">
        <v>33</v>
      </c>
      <c r="M6" s="13" t="s">
        <v>34</v>
      </c>
      <c r="N6" s="14" t="s">
        <v>35</v>
      </c>
    </row>
    <row r="7" spans="1:14" ht="16.5">
      <c r="A7" s="30"/>
      <c r="B7" s="32"/>
      <c r="C7" s="15" t="s">
        <v>36</v>
      </c>
      <c r="D7" s="10" t="s">
        <v>37</v>
      </c>
      <c r="E7" s="11" t="s">
        <v>38</v>
      </c>
      <c r="F7" s="10" t="s">
        <v>39</v>
      </c>
      <c r="G7" s="11" t="s">
        <v>40</v>
      </c>
      <c r="H7" s="11" t="s">
        <v>93</v>
      </c>
      <c r="I7" s="10" t="s">
        <v>41</v>
      </c>
      <c r="J7" s="11" t="s">
        <v>42</v>
      </c>
      <c r="K7" s="10" t="s">
        <v>43</v>
      </c>
      <c r="L7" s="11" t="s">
        <v>44</v>
      </c>
      <c r="M7" s="16" t="s">
        <v>45</v>
      </c>
      <c r="N7" s="10" t="s">
        <v>46</v>
      </c>
    </row>
    <row r="9" spans="1:14">
      <c r="B9" t="s">
        <v>47</v>
      </c>
    </row>
    <row r="10" spans="1:14">
      <c r="B10" s="17" t="s">
        <v>89</v>
      </c>
      <c r="C10">
        <v>2</v>
      </c>
      <c r="D10">
        <v>0.9</v>
      </c>
      <c r="E10">
        <v>15</v>
      </c>
      <c r="F10">
        <v>0</v>
      </c>
      <c r="G10">
        <f>IF(C10="","",C10*D10*E10)</f>
        <v>27</v>
      </c>
      <c r="H10">
        <v>0</v>
      </c>
      <c r="I10">
        <f>H10+(E10/2)</f>
        <v>7.5</v>
      </c>
      <c r="J10">
        <f>IF(C10="","",G10*I10)</f>
        <v>202.5</v>
      </c>
      <c r="K10">
        <f>IF(C10="","",G10*I10^2)</f>
        <v>1518.75</v>
      </c>
      <c r="L10">
        <f>IF(C10="","",1/12*D10*E10^3*(COS(DEGREES(F10)))^2)</f>
        <v>253.125</v>
      </c>
      <c r="M10">
        <f>IF(C10="","",1/12*D10*E10^3*(SIN(DEGREES(F10)))^2)</f>
        <v>0</v>
      </c>
      <c r="N10">
        <f>IF(C10="","",L10+M10)</f>
        <v>253.125</v>
      </c>
    </row>
    <row r="11" spans="1:14">
      <c r="B11" s="17" t="s">
        <v>90</v>
      </c>
      <c r="C11">
        <v>2</v>
      </c>
      <c r="D11">
        <v>8.1</v>
      </c>
      <c r="E11">
        <v>0.9</v>
      </c>
      <c r="F11">
        <v>0</v>
      </c>
      <c r="G11">
        <f t="shared" ref="G11:G74" si="0">IF(C11="","",C11*D11*E11)</f>
        <v>14.58</v>
      </c>
      <c r="H11">
        <v>0</v>
      </c>
      <c r="I11">
        <f>H11+(E11/2)</f>
        <v>0.45</v>
      </c>
      <c r="J11">
        <f t="shared" ref="J11:J74" si="1">IF(C11="","",G11*I11)</f>
        <v>6.5609999999999999</v>
      </c>
      <c r="K11">
        <f>IF(C11="","",G11*I11^2)</f>
        <v>2.9524500000000002</v>
      </c>
      <c r="L11">
        <f t="shared" ref="L11:L74" si="2">IF(C11="","",1/12*D11*E11^3*(COS(DEGREES(F11)))^2)</f>
        <v>0.49207500000000004</v>
      </c>
      <c r="M11">
        <f t="shared" ref="M11:M74" si="3">IF(C11="","",1/12*D11*E11^3*(SIN(DEGREES(F11)))^2)</f>
        <v>0</v>
      </c>
      <c r="N11">
        <f t="shared" ref="N11:N74" si="4">IF(C11="","",L11+M11)</f>
        <v>0.49207500000000004</v>
      </c>
    </row>
    <row r="12" spans="1:14">
      <c r="B12" t="s">
        <v>48</v>
      </c>
      <c r="G12" t="str">
        <f t="shared" si="0"/>
        <v/>
      </c>
      <c r="J12" t="str">
        <f t="shared" si="1"/>
        <v/>
      </c>
      <c r="K12" t="str">
        <f t="shared" ref="K12:K75" si="5">IF(C12="","",G12*I12^2)</f>
        <v/>
      </c>
      <c r="L12" t="str">
        <f t="shared" si="2"/>
        <v/>
      </c>
      <c r="M12" t="str">
        <f t="shared" si="3"/>
        <v/>
      </c>
      <c r="N12" t="str">
        <f t="shared" si="4"/>
        <v/>
      </c>
    </row>
    <row r="13" spans="1:14">
      <c r="B13" s="17" t="s">
        <v>89</v>
      </c>
      <c r="C13">
        <v>2</v>
      </c>
      <c r="D13">
        <v>0.9</v>
      </c>
      <c r="E13">
        <v>15</v>
      </c>
      <c r="F13">
        <v>0</v>
      </c>
      <c r="G13">
        <f t="shared" si="0"/>
        <v>27</v>
      </c>
      <c r="H13">
        <v>0</v>
      </c>
      <c r="I13">
        <f>H13+(E13/2)</f>
        <v>7.5</v>
      </c>
      <c r="J13">
        <f t="shared" si="1"/>
        <v>202.5</v>
      </c>
      <c r="K13">
        <f t="shared" si="5"/>
        <v>1518.75</v>
      </c>
      <c r="L13">
        <f t="shared" si="2"/>
        <v>253.125</v>
      </c>
      <c r="M13">
        <f t="shared" si="3"/>
        <v>0</v>
      </c>
      <c r="N13">
        <f t="shared" si="4"/>
        <v>253.125</v>
      </c>
    </row>
    <row r="14" spans="1:14">
      <c r="B14" s="17" t="s">
        <v>90</v>
      </c>
      <c r="C14">
        <v>2</v>
      </c>
      <c r="D14">
        <v>8.1</v>
      </c>
      <c r="E14">
        <v>0.9</v>
      </c>
      <c r="F14">
        <v>0</v>
      </c>
      <c r="G14">
        <f t="shared" si="0"/>
        <v>14.58</v>
      </c>
      <c r="H14">
        <v>0</v>
      </c>
      <c r="I14">
        <f>H14+(E14/2)</f>
        <v>0.45</v>
      </c>
      <c r="J14">
        <f t="shared" si="1"/>
        <v>6.5609999999999999</v>
      </c>
      <c r="K14">
        <f t="shared" si="5"/>
        <v>2.9524500000000002</v>
      </c>
      <c r="L14">
        <f t="shared" si="2"/>
        <v>0.49207500000000004</v>
      </c>
      <c r="M14">
        <f t="shared" si="3"/>
        <v>0</v>
      </c>
      <c r="N14">
        <f t="shared" si="4"/>
        <v>0.49207500000000004</v>
      </c>
    </row>
    <row r="15" spans="1:14">
      <c r="B15" t="s">
        <v>49</v>
      </c>
      <c r="G15" t="str">
        <f t="shared" si="0"/>
        <v/>
      </c>
      <c r="J15" t="str">
        <f t="shared" si="1"/>
        <v/>
      </c>
      <c r="K15" t="str">
        <f t="shared" si="5"/>
        <v/>
      </c>
      <c r="L15" t="str">
        <f t="shared" si="2"/>
        <v/>
      </c>
      <c r="M15" t="str">
        <f t="shared" si="3"/>
        <v/>
      </c>
      <c r="N15" t="str">
        <f t="shared" si="4"/>
        <v/>
      </c>
    </row>
    <row r="16" spans="1:14">
      <c r="B16" s="17" t="s">
        <v>89</v>
      </c>
      <c r="C16">
        <v>2</v>
      </c>
      <c r="D16">
        <v>0.9</v>
      </c>
      <c r="E16">
        <v>15</v>
      </c>
      <c r="F16">
        <v>0</v>
      </c>
      <c r="G16">
        <f t="shared" si="0"/>
        <v>27</v>
      </c>
      <c r="H16">
        <v>0</v>
      </c>
      <c r="I16">
        <f>H16+(E16/2)</f>
        <v>7.5</v>
      </c>
      <c r="J16">
        <f t="shared" si="1"/>
        <v>202.5</v>
      </c>
      <c r="K16">
        <f t="shared" si="5"/>
        <v>1518.75</v>
      </c>
      <c r="L16">
        <f t="shared" si="2"/>
        <v>253.125</v>
      </c>
      <c r="M16">
        <f t="shared" si="3"/>
        <v>0</v>
      </c>
      <c r="N16">
        <f t="shared" si="4"/>
        <v>253.125</v>
      </c>
    </row>
    <row r="17" spans="2:14">
      <c r="B17" s="17" t="s">
        <v>90</v>
      </c>
      <c r="C17">
        <v>2</v>
      </c>
      <c r="D17">
        <v>8.1</v>
      </c>
      <c r="E17">
        <v>0.9</v>
      </c>
      <c r="F17">
        <v>0</v>
      </c>
      <c r="G17">
        <f t="shared" si="0"/>
        <v>14.58</v>
      </c>
      <c r="H17">
        <v>0</v>
      </c>
      <c r="I17">
        <f>H17+(E17/2)</f>
        <v>0.45</v>
      </c>
      <c r="J17">
        <f t="shared" si="1"/>
        <v>6.5609999999999999</v>
      </c>
      <c r="K17">
        <f t="shared" si="5"/>
        <v>2.9524500000000002</v>
      </c>
      <c r="L17">
        <f t="shared" si="2"/>
        <v>0.49207500000000004</v>
      </c>
      <c r="M17">
        <f t="shared" si="3"/>
        <v>0</v>
      </c>
      <c r="N17">
        <f t="shared" si="4"/>
        <v>0.49207500000000004</v>
      </c>
    </row>
    <row r="18" spans="2:14">
      <c r="B18" t="s">
        <v>50</v>
      </c>
      <c r="G18" t="str">
        <f t="shared" si="0"/>
        <v/>
      </c>
      <c r="J18" t="str">
        <f t="shared" si="1"/>
        <v/>
      </c>
      <c r="K18" t="str">
        <f t="shared" si="5"/>
        <v/>
      </c>
      <c r="L18" t="str">
        <f t="shared" si="2"/>
        <v/>
      </c>
      <c r="M18" t="str">
        <f t="shared" si="3"/>
        <v/>
      </c>
      <c r="N18" t="str">
        <f t="shared" si="4"/>
        <v/>
      </c>
    </row>
    <row r="19" spans="2:14">
      <c r="B19" s="17" t="s">
        <v>89</v>
      </c>
      <c r="C19">
        <v>2</v>
      </c>
      <c r="D19">
        <v>0.9</v>
      </c>
      <c r="E19">
        <v>15</v>
      </c>
      <c r="F19">
        <v>0</v>
      </c>
      <c r="G19">
        <f t="shared" si="0"/>
        <v>27</v>
      </c>
      <c r="H19">
        <v>0</v>
      </c>
      <c r="I19">
        <f>H19+(E19/2)</f>
        <v>7.5</v>
      </c>
      <c r="J19">
        <f t="shared" si="1"/>
        <v>202.5</v>
      </c>
      <c r="K19">
        <f t="shared" si="5"/>
        <v>1518.75</v>
      </c>
      <c r="L19">
        <f t="shared" si="2"/>
        <v>253.125</v>
      </c>
      <c r="M19">
        <f t="shared" si="3"/>
        <v>0</v>
      </c>
      <c r="N19">
        <f t="shared" si="4"/>
        <v>253.125</v>
      </c>
    </row>
    <row r="20" spans="2:14">
      <c r="B20" s="17" t="s">
        <v>90</v>
      </c>
      <c r="C20">
        <v>2</v>
      </c>
      <c r="D20">
        <v>8.1</v>
      </c>
      <c r="E20">
        <v>0.9</v>
      </c>
      <c r="F20">
        <v>0</v>
      </c>
      <c r="G20">
        <f t="shared" si="0"/>
        <v>14.58</v>
      </c>
      <c r="H20">
        <v>0</v>
      </c>
      <c r="I20">
        <f>H20+(E20/2)</f>
        <v>0.45</v>
      </c>
      <c r="J20">
        <f t="shared" si="1"/>
        <v>6.5609999999999999</v>
      </c>
      <c r="K20">
        <f t="shared" si="5"/>
        <v>2.9524500000000002</v>
      </c>
      <c r="L20">
        <f t="shared" si="2"/>
        <v>0.49207500000000004</v>
      </c>
      <c r="M20">
        <f t="shared" si="3"/>
        <v>0</v>
      </c>
      <c r="N20">
        <f t="shared" si="4"/>
        <v>0.49207500000000004</v>
      </c>
    </row>
    <row r="21" spans="2:14">
      <c r="B21" t="s">
        <v>51</v>
      </c>
      <c r="G21" t="str">
        <f t="shared" si="0"/>
        <v/>
      </c>
      <c r="J21" t="str">
        <f t="shared" si="1"/>
        <v/>
      </c>
      <c r="K21" t="str">
        <f t="shared" si="5"/>
        <v/>
      </c>
      <c r="L21" t="str">
        <f t="shared" si="2"/>
        <v/>
      </c>
      <c r="M21" t="str">
        <f t="shared" si="3"/>
        <v/>
      </c>
      <c r="N21" t="str">
        <f t="shared" si="4"/>
        <v/>
      </c>
    </row>
    <row r="22" spans="2:14">
      <c r="B22" s="17" t="s">
        <v>89</v>
      </c>
      <c r="C22">
        <v>2</v>
      </c>
      <c r="D22">
        <v>0.9</v>
      </c>
      <c r="E22">
        <v>15</v>
      </c>
      <c r="F22">
        <v>0</v>
      </c>
      <c r="G22">
        <f t="shared" si="0"/>
        <v>27</v>
      </c>
      <c r="H22">
        <v>0</v>
      </c>
      <c r="I22">
        <f>H22+(E22/2)</f>
        <v>7.5</v>
      </c>
      <c r="J22">
        <f t="shared" si="1"/>
        <v>202.5</v>
      </c>
      <c r="K22">
        <f t="shared" si="5"/>
        <v>1518.75</v>
      </c>
      <c r="L22">
        <f t="shared" si="2"/>
        <v>253.125</v>
      </c>
      <c r="M22">
        <f t="shared" si="3"/>
        <v>0</v>
      </c>
      <c r="N22">
        <f t="shared" si="4"/>
        <v>253.125</v>
      </c>
    </row>
    <row r="23" spans="2:14">
      <c r="B23" s="17" t="s">
        <v>90</v>
      </c>
      <c r="C23">
        <v>2</v>
      </c>
      <c r="D23">
        <v>8.1</v>
      </c>
      <c r="E23">
        <v>0.9</v>
      </c>
      <c r="F23">
        <v>0</v>
      </c>
      <c r="G23">
        <f t="shared" si="0"/>
        <v>14.58</v>
      </c>
      <c r="H23">
        <v>0</v>
      </c>
      <c r="I23">
        <f>H23+(E23/2)</f>
        <v>0.45</v>
      </c>
      <c r="J23">
        <f t="shared" si="1"/>
        <v>6.5609999999999999</v>
      </c>
      <c r="K23">
        <f t="shared" si="5"/>
        <v>2.9524500000000002</v>
      </c>
      <c r="L23">
        <f t="shared" si="2"/>
        <v>0.49207500000000004</v>
      </c>
      <c r="M23">
        <f t="shared" si="3"/>
        <v>0</v>
      </c>
      <c r="N23">
        <f t="shared" si="4"/>
        <v>0.49207500000000004</v>
      </c>
    </row>
    <row r="24" spans="2:14">
      <c r="B24" t="s">
        <v>52</v>
      </c>
      <c r="G24" t="str">
        <f t="shared" si="0"/>
        <v/>
      </c>
      <c r="J24" t="str">
        <f t="shared" si="1"/>
        <v/>
      </c>
      <c r="K24" t="str">
        <f t="shared" si="5"/>
        <v/>
      </c>
      <c r="L24" t="str">
        <f t="shared" si="2"/>
        <v/>
      </c>
      <c r="M24" t="str">
        <f t="shared" si="3"/>
        <v/>
      </c>
      <c r="N24" t="str">
        <f t="shared" si="4"/>
        <v/>
      </c>
    </row>
    <row r="25" spans="2:14">
      <c r="B25" s="17" t="s">
        <v>89</v>
      </c>
      <c r="C25">
        <v>2</v>
      </c>
      <c r="D25">
        <v>0.9</v>
      </c>
      <c r="E25">
        <v>15</v>
      </c>
      <c r="F25">
        <v>0</v>
      </c>
      <c r="G25">
        <f t="shared" si="0"/>
        <v>27</v>
      </c>
      <c r="H25">
        <v>0</v>
      </c>
      <c r="I25">
        <f>H25+(E25/2)</f>
        <v>7.5</v>
      </c>
      <c r="J25">
        <f t="shared" si="1"/>
        <v>202.5</v>
      </c>
      <c r="K25">
        <f t="shared" si="5"/>
        <v>1518.75</v>
      </c>
      <c r="L25">
        <f t="shared" si="2"/>
        <v>253.125</v>
      </c>
      <c r="M25">
        <f t="shared" si="3"/>
        <v>0</v>
      </c>
      <c r="N25">
        <f t="shared" si="4"/>
        <v>253.125</v>
      </c>
    </row>
    <row r="26" spans="2:14">
      <c r="B26" s="17" t="s">
        <v>90</v>
      </c>
      <c r="C26">
        <v>2</v>
      </c>
      <c r="D26">
        <v>8.1</v>
      </c>
      <c r="E26">
        <v>0.9</v>
      </c>
      <c r="F26">
        <v>0</v>
      </c>
      <c r="G26">
        <f t="shared" si="0"/>
        <v>14.58</v>
      </c>
      <c r="H26">
        <v>0</v>
      </c>
      <c r="I26">
        <f>H26+(E26/2)</f>
        <v>0.45</v>
      </c>
      <c r="J26">
        <f t="shared" si="1"/>
        <v>6.5609999999999999</v>
      </c>
      <c r="K26">
        <f t="shared" si="5"/>
        <v>2.9524500000000002</v>
      </c>
      <c r="L26">
        <f t="shared" si="2"/>
        <v>0.49207500000000004</v>
      </c>
      <c r="M26">
        <f t="shared" si="3"/>
        <v>0</v>
      </c>
      <c r="N26">
        <f t="shared" si="4"/>
        <v>0.49207500000000004</v>
      </c>
    </row>
    <row r="27" spans="2:14">
      <c r="B27" t="s">
        <v>53</v>
      </c>
      <c r="G27" t="str">
        <f t="shared" si="0"/>
        <v/>
      </c>
      <c r="J27" t="str">
        <f t="shared" si="1"/>
        <v/>
      </c>
      <c r="K27" t="str">
        <f t="shared" si="5"/>
        <v/>
      </c>
      <c r="L27" t="str">
        <f t="shared" si="2"/>
        <v/>
      </c>
      <c r="M27" t="str">
        <f t="shared" si="3"/>
        <v/>
      </c>
      <c r="N27" t="str">
        <f t="shared" si="4"/>
        <v/>
      </c>
    </row>
    <row r="28" spans="2:14">
      <c r="B28" s="17" t="s">
        <v>89</v>
      </c>
      <c r="C28">
        <v>2</v>
      </c>
      <c r="D28">
        <v>0.9</v>
      </c>
      <c r="E28">
        <v>15</v>
      </c>
      <c r="F28">
        <v>0</v>
      </c>
      <c r="G28">
        <f t="shared" si="0"/>
        <v>27</v>
      </c>
      <c r="H28">
        <v>0</v>
      </c>
      <c r="I28">
        <f>H28+(E28/2)</f>
        <v>7.5</v>
      </c>
      <c r="J28">
        <f t="shared" si="1"/>
        <v>202.5</v>
      </c>
      <c r="K28">
        <f t="shared" si="5"/>
        <v>1518.75</v>
      </c>
      <c r="L28">
        <f t="shared" si="2"/>
        <v>253.125</v>
      </c>
      <c r="M28">
        <f t="shared" si="3"/>
        <v>0</v>
      </c>
      <c r="N28">
        <f t="shared" si="4"/>
        <v>253.125</v>
      </c>
    </row>
    <row r="29" spans="2:14">
      <c r="B29" s="17" t="s">
        <v>90</v>
      </c>
      <c r="C29">
        <v>2</v>
      </c>
      <c r="D29">
        <v>8.1</v>
      </c>
      <c r="E29">
        <v>0.9</v>
      </c>
      <c r="F29">
        <v>0</v>
      </c>
      <c r="G29">
        <f t="shared" si="0"/>
        <v>14.58</v>
      </c>
      <c r="H29">
        <v>0</v>
      </c>
      <c r="I29">
        <f>H29+(E29/2)</f>
        <v>0.45</v>
      </c>
      <c r="J29">
        <f t="shared" si="1"/>
        <v>6.5609999999999999</v>
      </c>
      <c r="K29">
        <f t="shared" si="5"/>
        <v>2.9524500000000002</v>
      </c>
      <c r="L29">
        <f t="shared" si="2"/>
        <v>0.49207500000000004</v>
      </c>
      <c r="M29">
        <f t="shared" si="3"/>
        <v>0</v>
      </c>
      <c r="N29">
        <f t="shared" si="4"/>
        <v>0.49207500000000004</v>
      </c>
    </row>
    <row r="30" spans="2:14">
      <c r="B30" t="s">
        <v>54</v>
      </c>
      <c r="G30" t="str">
        <f t="shared" si="0"/>
        <v/>
      </c>
      <c r="J30" t="str">
        <f t="shared" si="1"/>
        <v/>
      </c>
      <c r="K30" t="str">
        <f t="shared" si="5"/>
        <v/>
      </c>
      <c r="L30" t="str">
        <f t="shared" si="2"/>
        <v/>
      </c>
      <c r="M30" t="str">
        <f t="shared" si="3"/>
        <v/>
      </c>
      <c r="N30" t="str">
        <f t="shared" si="4"/>
        <v/>
      </c>
    </row>
    <row r="31" spans="2:14">
      <c r="B31" s="17" t="s">
        <v>89</v>
      </c>
      <c r="C31">
        <v>2</v>
      </c>
      <c r="D31">
        <v>0.9</v>
      </c>
      <c r="E31">
        <v>15</v>
      </c>
      <c r="F31">
        <v>0</v>
      </c>
      <c r="G31">
        <f t="shared" si="0"/>
        <v>27</v>
      </c>
      <c r="H31">
        <v>0</v>
      </c>
      <c r="I31">
        <f>H31+(E31/2)</f>
        <v>7.5</v>
      </c>
      <c r="J31">
        <f t="shared" si="1"/>
        <v>202.5</v>
      </c>
      <c r="K31">
        <f t="shared" si="5"/>
        <v>1518.75</v>
      </c>
      <c r="L31">
        <f t="shared" si="2"/>
        <v>253.125</v>
      </c>
      <c r="M31">
        <f t="shared" si="3"/>
        <v>0</v>
      </c>
      <c r="N31">
        <f t="shared" si="4"/>
        <v>253.125</v>
      </c>
    </row>
    <row r="32" spans="2:14">
      <c r="B32" s="17" t="s">
        <v>90</v>
      </c>
      <c r="C32">
        <v>2</v>
      </c>
      <c r="D32">
        <v>8.1</v>
      </c>
      <c r="E32">
        <v>0.9</v>
      </c>
      <c r="F32">
        <v>0</v>
      </c>
      <c r="G32">
        <f t="shared" si="0"/>
        <v>14.58</v>
      </c>
      <c r="H32">
        <v>0</v>
      </c>
      <c r="I32">
        <f>H32+(E32/2)</f>
        <v>0.45</v>
      </c>
      <c r="J32">
        <f t="shared" si="1"/>
        <v>6.5609999999999999</v>
      </c>
      <c r="K32">
        <f t="shared" si="5"/>
        <v>2.9524500000000002</v>
      </c>
      <c r="L32">
        <f t="shared" si="2"/>
        <v>0.49207500000000004</v>
      </c>
      <c r="M32">
        <f t="shared" si="3"/>
        <v>0</v>
      </c>
      <c r="N32">
        <f t="shared" si="4"/>
        <v>0.49207500000000004</v>
      </c>
    </row>
    <row r="33" spans="2:14">
      <c r="B33" t="s">
        <v>55</v>
      </c>
      <c r="G33" t="str">
        <f t="shared" si="0"/>
        <v/>
      </c>
      <c r="J33" t="str">
        <f t="shared" si="1"/>
        <v/>
      </c>
      <c r="K33" t="str">
        <f t="shared" si="5"/>
        <v/>
      </c>
      <c r="L33" t="str">
        <f t="shared" si="2"/>
        <v/>
      </c>
      <c r="M33" t="str">
        <f t="shared" si="3"/>
        <v/>
      </c>
      <c r="N33" t="str">
        <f t="shared" si="4"/>
        <v/>
      </c>
    </row>
    <row r="34" spans="2:14">
      <c r="B34" s="17" t="s">
        <v>89</v>
      </c>
      <c r="C34">
        <v>2</v>
      </c>
      <c r="D34">
        <v>0.9</v>
      </c>
      <c r="E34">
        <v>15</v>
      </c>
      <c r="F34">
        <v>0</v>
      </c>
      <c r="G34">
        <f t="shared" si="0"/>
        <v>27</v>
      </c>
      <c r="H34">
        <v>0</v>
      </c>
      <c r="I34">
        <f>H34+(E34/2)</f>
        <v>7.5</v>
      </c>
      <c r="J34">
        <f t="shared" si="1"/>
        <v>202.5</v>
      </c>
      <c r="K34">
        <f t="shared" si="5"/>
        <v>1518.75</v>
      </c>
      <c r="L34">
        <f t="shared" si="2"/>
        <v>253.125</v>
      </c>
      <c r="M34">
        <f t="shared" si="3"/>
        <v>0</v>
      </c>
      <c r="N34">
        <f t="shared" si="4"/>
        <v>253.125</v>
      </c>
    </row>
    <row r="35" spans="2:14">
      <c r="B35" s="17" t="s">
        <v>90</v>
      </c>
      <c r="C35">
        <v>2</v>
      </c>
      <c r="D35">
        <v>8.1</v>
      </c>
      <c r="E35">
        <v>0.9</v>
      </c>
      <c r="F35">
        <v>0</v>
      </c>
      <c r="G35">
        <f t="shared" si="0"/>
        <v>14.58</v>
      </c>
      <c r="H35">
        <v>0</v>
      </c>
      <c r="I35">
        <f>H35+(E35/2)</f>
        <v>0.45</v>
      </c>
      <c r="J35">
        <f t="shared" si="1"/>
        <v>6.5609999999999999</v>
      </c>
      <c r="K35">
        <f t="shared" si="5"/>
        <v>2.9524500000000002</v>
      </c>
      <c r="L35">
        <f t="shared" si="2"/>
        <v>0.49207500000000004</v>
      </c>
      <c r="M35">
        <f t="shared" si="3"/>
        <v>0</v>
      </c>
      <c r="N35">
        <f t="shared" si="4"/>
        <v>0.49207500000000004</v>
      </c>
    </row>
    <row r="36" spans="2:14">
      <c r="B36" t="s">
        <v>56</v>
      </c>
      <c r="G36" t="str">
        <f t="shared" si="0"/>
        <v/>
      </c>
      <c r="J36" t="str">
        <f t="shared" si="1"/>
        <v/>
      </c>
      <c r="K36" t="str">
        <f t="shared" si="5"/>
        <v/>
      </c>
      <c r="L36" t="str">
        <f t="shared" si="2"/>
        <v/>
      </c>
      <c r="M36" t="str">
        <f t="shared" si="3"/>
        <v/>
      </c>
      <c r="N36" t="str">
        <f t="shared" si="4"/>
        <v/>
      </c>
    </row>
    <row r="37" spans="2:14">
      <c r="B37" s="17" t="s">
        <v>89</v>
      </c>
      <c r="C37">
        <v>2</v>
      </c>
      <c r="D37">
        <v>0.9</v>
      </c>
      <c r="E37">
        <v>15</v>
      </c>
      <c r="F37">
        <v>0</v>
      </c>
      <c r="G37">
        <f t="shared" si="0"/>
        <v>27</v>
      </c>
      <c r="H37">
        <v>0</v>
      </c>
      <c r="I37">
        <f>H37+(E37/2)</f>
        <v>7.5</v>
      </c>
      <c r="J37">
        <f t="shared" si="1"/>
        <v>202.5</v>
      </c>
      <c r="K37">
        <f t="shared" si="5"/>
        <v>1518.75</v>
      </c>
      <c r="L37">
        <f t="shared" si="2"/>
        <v>253.125</v>
      </c>
      <c r="M37">
        <f t="shared" si="3"/>
        <v>0</v>
      </c>
      <c r="N37">
        <f t="shared" si="4"/>
        <v>253.125</v>
      </c>
    </row>
    <row r="38" spans="2:14">
      <c r="B38" s="17" t="s">
        <v>90</v>
      </c>
      <c r="C38">
        <v>2</v>
      </c>
      <c r="D38">
        <v>8.1</v>
      </c>
      <c r="E38">
        <v>0.9</v>
      </c>
      <c r="F38">
        <v>0</v>
      </c>
      <c r="G38">
        <f t="shared" si="0"/>
        <v>14.58</v>
      </c>
      <c r="H38">
        <v>0</v>
      </c>
      <c r="I38">
        <f>H38+(E38/2)</f>
        <v>0.45</v>
      </c>
      <c r="J38">
        <f t="shared" si="1"/>
        <v>6.5609999999999999</v>
      </c>
      <c r="K38">
        <f t="shared" si="5"/>
        <v>2.9524500000000002</v>
      </c>
      <c r="L38">
        <f t="shared" si="2"/>
        <v>0.49207500000000004</v>
      </c>
      <c r="M38">
        <f t="shared" si="3"/>
        <v>0</v>
      </c>
      <c r="N38">
        <f t="shared" si="4"/>
        <v>0.49207500000000004</v>
      </c>
    </row>
    <row r="39" spans="2:14">
      <c r="B39" t="s">
        <v>57</v>
      </c>
      <c r="G39" t="str">
        <f t="shared" si="0"/>
        <v/>
      </c>
      <c r="J39" t="str">
        <f t="shared" si="1"/>
        <v/>
      </c>
      <c r="K39" t="str">
        <f t="shared" si="5"/>
        <v/>
      </c>
      <c r="L39" t="str">
        <f t="shared" si="2"/>
        <v/>
      </c>
      <c r="M39" t="str">
        <f t="shared" si="3"/>
        <v/>
      </c>
      <c r="N39" t="str">
        <f t="shared" si="4"/>
        <v/>
      </c>
    </row>
    <row r="40" spans="2:14">
      <c r="B40" s="17" t="s">
        <v>89</v>
      </c>
      <c r="C40">
        <v>2</v>
      </c>
      <c r="D40">
        <v>0.9</v>
      </c>
      <c r="E40">
        <v>15</v>
      </c>
      <c r="F40">
        <v>0</v>
      </c>
      <c r="G40">
        <f t="shared" si="0"/>
        <v>27</v>
      </c>
      <c r="H40">
        <v>0</v>
      </c>
      <c r="I40">
        <f>H40+(E40/2)</f>
        <v>7.5</v>
      </c>
      <c r="J40">
        <f t="shared" si="1"/>
        <v>202.5</v>
      </c>
      <c r="K40">
        <f t="shared" si="5"/>
        <v>1518.75</v>
      </c>
      <c r="L40">
        <f t="shared" si="2"/>
        <v>253.125</v>
      </c>
      <c r="M40">
        <f t="shared" si="3"/>
        <v>0</v>
      </c>
      <c r="N40">
        <f t="shared" si="4"/>
        <v>253.125</v>
      </c>
    </row>
    <row r="41" spans="2:14">
      <c r="B41" s="17" t="s">
        <v>90</v>
      </c>
      <c r="C41">
        <v>2</v>
      </c>
      <c r="D41">
        <v>8.1</v>
      </c>
      <c r="E41">
        <v>0.9</v>
      </c>
      <c r="F41">
        <v>0</v>
      </c>
      <c r="G41">
        <f t="shared" si="0"/>
        <v>14.58</v>
      </c>
      <c r="H41">
        <v>0</v>
      </c>
      <c r="I41">
        <f>H41+(E41/2)</f>
        <v>0.45</v>
      </c>
      <c r="J41">
        <f t="shared" si="1"/>
        <v>6.5609999999999999</v>
      </c>
      <c r="K41">
        <f t="shared" si="5"/>
        <v>2.9524500000000002</v>
      </c>
      <c r="L41">
        <f t="shared" si="2"/>
        <v>0.49207500000000004</v>
      </c>
      <c r="M41">
        <f t="shared" si="3"/>
        <v>0</v>
      </c>
      <c r="N41">
        <f t="shared" si="4"/>
        <v>0.49207500000000004</v>
      </c>
    </row>
    <row r="42" spans="2:14">
      <c r="B42" t="s">
        <v>58</v>
      </c>
      <c r="G42" t="str">
        <f t="shared" si="0"/>
        <v/>
      </c>
      <c r="J42" t="str">
        <f t="shared" si="1"/>
        <v/>
      </c>
      <c r="K42" t="str">
        <f t="shared" si="5"/>
        <v/>
      </c>
      <c r="L42" t="str">
        <f t="shared" si="2"/>
        <v/>
      </c>
      <c r="M42" t="str">
        <f t="shared" si="3"/>
        <v/>
      </c>
      <c r="N42" t="str">
        <f t="shared" si="4"/>
        <v/>
      </c>
    </row>
    <row r="43" spans="2:14">
      <c r="B43" s="17" t="s">
        <v>89</v>
      </c>
      <c r="C43">
        <v>2</v>
      </c>
      <c r="D43">
        <v>0.9</v>
      </c>
      <c r="E43">
        <v>15</v>
      </c>
      <c r="F43">
        <v>0</v>
      </c>
      <c r="G43">
        <f t="shared" si="0"/>
        <v>27</v>
      </c>
      <c r="H43">
        <v>0</v>
      </c>
      <c r="I43">
        <f>H43+(E43/2)</f>
        <v>7.5</v>
      </c>
      <c r="J43">
        <f t="shared" si="1"/>
        <v>202.5</v>
      </c>
      <c r="K43">
        <f t="shared" si="5"/>
        <v>1518.75</v>
      </c>
      <c r="L43">
        <f t="shared" si="2"/>
        <v>253.125</v>
      </c>
      <c r="M43">
        <f t="shared" si="3"/>
        <v>0</v>
      </c>
      <c r="N43">
        <f t="shared" si="4"/>
        <v>253.125</v>
      </c>
    </row>
    <row r="44" spans="2:14">
      <c r="B44" s="17" t="s">
        <v>90</v>
      </c>
      <c r="C44">
        <v>2</v>
      </c>
      <c r="D44">
        <v>8.1</v>
      </c>
      <c r="E44">
        <v>0.9</v>
      </c>
      <c r="F44">
        <v>0</v>
      </c>
      <c r="G44">
        <f t="shared" si="0"/>
        <v>14.58</v>
      </c>
      <c r="H44">
        <v>0</v>
      </c>
      <c r="I44">
        <f>H44+(E44/2)</f>
        <v>0.45</v>
      </c>
      <c r="J44">
        <f t="shared" si="1"/>
        <v>6.5609999999999999</v>
      </c>
      <c r="K44">
        <f t="shared" si="5"/>
        <v>2.9524500000000002</v>
      </c>
      <c r="L44">
        <f t="shared" si="2"/>
        <v>0.49207500000000004</v>
      </c>
      <c r="M44">
        <f t="shared" si="3"/>
        <v>0</v>
      </c>
      <c r="N44">
        <f t="shared" si="4"/>
        <v>0.49207500000000004</v>
      </c>
    </row>
    <row r="45" spans="2:14">
      <c r="B45" t="s">
        <v>59</v>
      </c>
      <c r="G45" t="str">
        <f t="shared" si="0"/>
        <v/>
      </c>
      <c r="J45" t="str">
        <f t="shared" si="1"/>
        <v/>
      </c>
      <c r="K45" t="str">
        <f t="shared" si="5"/>
        <v/>
      </c>
      <c r="L45" t="str">
        <f t="shared" si="2"/>
        <v/>
      </c>
      <c r="M45" t="str">
        <f t="shared" si="3"/>
        <v/>
      </c>
      <c r="N45" t="str">
        <f t="shared" si="4"/>
        <v/>
      </c>
    </row>
    <row r="46" spans="2:14">
      <c r="B46" s="17" t="s">
        <v>89</v>
      </c>
      <c r="C46">
        <v>2</v>
      </c>
      <c r="D46">
        <v>0.9</v>
      </c>
      <c r="E46">
        <v>15</v>
      </c>
      <c r="F46">
        <v>0</v>
      </c>
      <c r="G46">
        <f t="shared" si="0"/>
        <v>27</v>
      </c>
      <c r="H46">
        <v>0</v>
      </c>
      <c r="I46">
        <f>H46+(E46/2)</f>
        <v>7.5</v>
      </c>
      <c r="J46">
        <f t="shared" si="1"/>
        <v>202.5</v>
      </c>
      <c r="K46">
        <f t="shared" si="5"/>
        <v>1518.75</v>
      </c>
      <c r="L46">
        <f t="shared" si="2"/>
        <v>253.125</v>
      </c>
      <c r="M46">
        <f t="shared" si="3"/>
        <v>0</v>
      </c>
      <c r="N46">
        <f t="shared" si="4"/>
        <v>253.125</v>
      </c>
    </row>
    <row r="47" spans="2:14">
      <c r="B47" s="17" t="s">
        <v>90</v>
      </c>
      <c r="C47">
        <v>2</v>
      </c>
      <c r="D47">
        <v>8.1</v>
      </c>
      <c r="E47">
        <v>0.9</v>
      </c>
      <c r="F47">
        <v>0</v>
      </c>
      <c r="G47">
        <f t="shared" si="0"/>
        <v>14.58</v>
      </c>
      <c r="H47">
        <v>0</v>
      </c>
      <c r="I47">
        <f>H47+(E47/2)</f>
        <v>0.45</v>
      </c>
      <c r="J47">
        <f t="shared" si="1"/>
        <v>6.5609999999999999</v>
      </c>
      <c r="K47">
        <f t="shared" si="5"/>
        <v>2.9524500000000002</v>
      </c>
      <c r="L47">
        <f t="shared" si="2"/>
        <v>0.49207500000000004</v>
      </c>
      <c r="M47">
        <f t="shared" si="3"/>
        <v>0</v>
      </c>
      <c r="N47">
        <f t="shared" si="4"/>
        <v>0.49207500000000004</v>
      </c>
    </row>
    <row r="48" spans="2:14">
      <c r="B48" t="s">
        <v>60</v>
      </c>
      <c r="G48" t="str">
        <f t="shared" si="0"/>
        <v/>
      </c>
      <c r="J48" t="str">
        <f t="shared" si="1"/>
        <v/>
      </c>
      <c r="K48" t="str">
        <f t="shared" si="5"/>
        <v/>
      </c>
      <c r="L48" t="str">
        <f t="shared" si="2"/>
        <v/>
      </c>
      <c r="M48" t="str">
        <f t="shared" si="3"/>
        <v/>
      </c>
      <c r="N48" t="str">
        <f t="shared" si="4"/>
        <v/>
      </c>
    </row>
    <row r="49" spans="2:14">
      <c r="B49" s="17" t="s">
        <v>89</v>
      </c>
      <c r="C49">
        <v>2</v>
      </c>
      <c r="D49">
        <v>0.9</v>
      </c>
      <c r="E49">
        <v>15</v>
      </c>
      <c r="F49">
        <v>0</v>
      </c>
      <c r="G49">
        <f t="shared" si="0"/>
        <v>27</v>
      </c>
      <c r="H49">
        <v>0</v>
      </c>
      <c r="I49">
        <f>H49+(E49/2)</f>
        <v>7.5</v>
      </c>
      <c r="J49">
        <f t="shared" si="1"/>
        <v>202.5</v>
      </c>
      <c r="K49">
        <f t="shared" si="5"/>
        <v>1518.75</v>
      </c>
      <c r="L49">
        <f t="shared" si="2"/>
        <v>253.125</v>
      </c>
      <c r="M49">
        <f t="shared" si="3"/>
        <v>0</v>
      </c>
      <c r="N49">
        <f t="shared" si="4"/>
        <v>253.125</v>
      </c>
    </row>
    <row r="50" spans="2:14">
      <c r="B50" s="17" t="s">
        <v>90</v>
      </c>
      <c r="C50">
        <v>2</v>
      </c>
      <c r="D50">
        <v>8.1</v>
      </c>
      <c r="E50">
        <v>0.9</v>
      </c>
      <c r="F50">
        <v>0</v>
      </c>
      <c r="G50">
        <f t="shared" si="0"/>
        <v>14.58</v>
      </c>
      <c r="H50">
        <v>0</v>
      </c>
      <c r="I50">
        <f>H50+(E50/2)</f>
        <v>0.45</v>
      </c>
      <c r="J50">
        <f t="shared" si="1"/>
        <v>6.5609999999999999</v>
      </c>
      <c r="K50">
        <f t="shared" si="5"/>
        <v>2.9524500000000002</v>
      </c>
      <c r="L50">
        <f t="shared" si="2"/>
        <v>0.49207500000000004</v>
      </c>
      <c r="M50">
        <f t="shared" si="3"/>
        <v>0</v>
      </c>
      <c r="N50">
        <f t="shared" si="4"/>
        <v>0.49207500000000004</v>
      </c>
    </row>
    <row r="51" spans="2:14">
      <c r="B51" t="s">
        <v>61</v>
      </c>
      <c r="G51" t="str">
        <f t="shared" si="0"/>
        <v/>
      </c>
      <c r="J51" t="str">
        <f t="shared" si="1"/>
        <v/>
      </c>
      <c r="K51" t="str">
        <f t="shared" si="5"/>
        <v/>
      </c>
      <c r="L51" t="str">
        <f t="shared" si="2"/>
        <v/>
      </c>
      <c r="M51" t="str">
        <f t="shared" si="3"/>
        <v/>
      </c>
      <c r="N51" t="str">
        <f t="shared" si="4"/>
        <v/>
      </c>
    </row>
    <row r="52" spans="2:14">
      <c r="B52" s="17" t="s">
        <v>89</v>
      </c>
      <c r="C52">
        <v>2</v>
      </c>
      <c r="D52">
        <v>0.9</v>
      </c>
      <c r="E52">
        <v>15</v>
      </c>
      <c r="F52">
        <v>0</v>
      </c>
      <c r="G52">
        <f t="shared" si="0"/>
        <v>27</v>
      </c>
      <c r="H52">
        <v>0</v>
      </c>
      <c r="I52">
        <f>H52+(E52/2)</f>
        <v>7.5</v>
      </c>
      <c r="J52">
        <f t="shared" si="1"/>
        <v>202.5</v>
      </c>
      <c r="K52">
        <f t="shared" si="5"/>
        <v>1518.75</v>
      </c>
      <c r="L52">
        <f t="shared" si="2"/>
        <v>253.125</v>
      </c>
      <c r="M52">
        <f t="shared" si="3"/>
        <v>0</v>
      </c>
      <c r="N52">
        <f t="shared" si="4"/>
        <v>253.125</v>
      </c>
    </row>
    <row r="53" spans="2:14">
      <c r="B53" s="17" t="s">
        <v>90</v>
      </c>
      <c r="C53">
        <v>2</v>
      </c>
      <c r="D53">
        <v>8.1</v>
      </c>
      <c r="E53">
        <v>0.9</v>
      </c>
      <c r="F53">
        <v>0</v>
      </c>
      <c r="G53">
        <f t="shared" si="0"/>
        <v>14.58</v>
      </c>
      <c r="H53">
        <v>0</v>
      </c>
      <c r="I53">
        <f>H53+(E53/2)</f>
        <v>0.45</v>
      </c>
      <c r="J53">
        <f t="shared" si="1"/>
        <v>6.5609999999999999</v>
      </c>
      <c r="K53">
        <f t="shared" si="5"/>
        <v>2.9524500000000002</v>
      </c>
      <c r="L53">
        <f t="shared" si="2"/>
        <v>0.49207500000000004</v>
      </c>
      <c r="M53">
        <f t="shared" si="3"/>
        <v>0</v>
      </c>
      <c r="N53">
        <f t="shared" si="4"/>
        <v>0.49207500000000004</v>
      </c>
    </row>
    <row r="54" spans="2:14">
      <c r="B54" t="s">
        <v>62</v>
      </c>
      <c r="G54" t="str">
        <f t="shared" si="0"/>
        <v/>
      </c>
      <c r="J54" t="str">
        <f t="shared" si="1"/>
        <v/>
      </c>
      <c r="K54" t="str">
        <f t="shared" si="5"/>
        <v/>
      </c>
      <c r="L54" t="str">
        <f t="shared" si="2"/>
        <v/>
      </c>
      <c r="M54" t="str">
        <f t="shared" si="3"/>
        <v/>
      </c>
      <c r="N54" t="str">
        <f t="shared" si="4"/>
        <v/>
      </c>
    </row>
    <row r="55" spans="2:14">
      <c r="B55" s="17" t="s">
        <v>89</v>
      </c>
      <c r="C55">
        <v>2</v>
      </c>
      <c r="D55">
        <v>0.9</v>
      </c>
      <c r="E55">
        <v>15</v>
      </c>
      <c r="F55">
        <v>0</v>
      </c>
      <c r="G55">
        <f t="shared" si="0"/>
        <v>27</v>
      </c>
      <c r="H55">
        <v>0</v>
      </c>
      <c r="I55">
        <f>H55+(E55/2)</f>
        <v>7.5</v>
      </c>
      <c r="J55">
        <f t="shared" si="1"/>
        <v>202.5</v>
      </c>
      <c r="K55">
        <f t="shared" si="5"/>
        <v>1518.75</v>
      </c>
      <c r="L55">
        <f t="shared" si="2"/>
        <v>253.125</v>
      </c>
      <c r="M55">
        <f t="shared" si="3"/>
        <v>0</v>
      </c>
      <c r="N55">
        <f t="shared" si="4"/>
        <v>253.125</v>
      </c>
    </row>
    <row r="56" spans="2:14">
      <c r="B56" s="17" t="s">
        <v>90</v>
      </c>
      <c r="C56">
        <v>2</v>
      </c>
      <c r="D56">
        <v>8.1</v>
      </c>
      <c r="E56">
        <v>0.9</v>
      </c>
      <c r="F56">
        <v>0</v>
      </c>
      <c r="G56">
        <f t="shared" si="0"/>
        <v>14.58</v>
      </c>
      <c r="H56">
        <v>0</v>
      </c>
      <c r="I56">
        <f>H56+(E56/2)</f>
        <v>0.45</v>
      </c>
      <c r="J56">
        <f t="shared" si="1"/>
        <v>6.5609999999999999</v>
      </c>
      <c r="K56">
        <f t="shared" si="5"/>
        <v>2.9524500000000002</v>
      </c>
      <c r="L56">
        <f t="shared" si="2"/>
        <v>0.49207500000000004</v>
      </c>
      <c r="M56">
        <f t="shared" si="3"/>
        <v>0</v>
      </c>
      <c r="N56">
        <f t="shared" si="4"/>
        <v>0.49207500000000004</v>
      </c>
    </row>
    <row r="57" spans="2:14">
      <c r="B57" t="s">
        <v>63</v>
      </c>
      <c r="G57" t="str">
        <f t="shared" si="0"/>
        <v/>
      </c>
      <c r="J57" t="str">
        <f t="shared" si="1"/>
        <v/>
      </c>
      <c r="K57" t="str">
        <f t="shared" si="5"/>
        <v/>
      </c>
      <c r="L57" t="str">
        <f t="shared" si="2"/>
        <v/>
      </c>
      <c r="M57" t="str">
        <f t="shared" si="3"/>
        <v/>
      </c>
      <c r="N57" t="str">
        <f t="shared" si="4"/>
        <v/>
      </c>
    </row>
    <row r="58" spans="2:14">
      <c r="B58" s="17" t="s">
        <v>89</v>
      </c>
      <c r="C58">
        <v>2</v>
      </c>
      <c r="D58">
        <v>0.9</v>
      </c>
      <c r="E58">
        <v>15</v>
      </c>
      <c r="F58">
        <v>0</v>
      </c>
      <c r="G58">
        <f t="shared" si="0"/>
        <v>27</v>
      </c>
      <c r="H58">
        <v>0</v>
      </c>
      <c r="I58">
        <f>H58+(E58/2)</f>
        <v>7.5</v>
      </c>
      <c r="J58">
        <f t="shared" si="1"/>
        <v>202.5</v>
      </c>
      <c r="K58">
        <f t="shared" si="5"/>
        <v>1518.75</v>
      </c>
      <c r="L58">
        <f t="shared" si="2"/>
        <v>253.125</v>
      </c>
      <c r="M58">
        <f t="shared" si="3"/>
        <v>0</v>
      </c>
      <c r="N58">
        <f t="shared" si="4"/>
        <v>253.125</v>
      </c>
    </row>
    <row r="59" spans="2:14">
      <c r="B59" s="17" t="s">
        <v>90</v>
      </c>
      <c r="C59">
        <v>2</v>
      </c>
      <c r="D59">
        <v>8.1</v>
      </c>
      <c r="E59">
        <v>0.9</v>
      </c>
      <c r="F59">
        <v>0</v>
      </c>
      <c r="G59">
        <f t="shared" si="0"/>
        <v>14.58</v>
      </c>
      <c r="H59">
        <v>0</v>
      </c>
      <c r="I59">
        <f>H59+(E59/2)</f>
        <v>0.45</v>
      </c>
      <c r="J59">
        <f t="shared" si="1"/>
        <v>6.5609999999999999</v>
      </c>
      <c r="K59">
        <f t="shared" si="5"/>
        <v>2.9524500000000002</v>
      </c>
      <c r="L59">
        <f t="shared" si="2"/>
        <v>0.49207500000000004</v>
      </c>
      <c r="M59">
        <f t="shared" si="3"/>
        <v>0</v>
      </c>
      <c r="N59">
        <f t="shared" si="4"/>
        <v>0.49207500000000004</v>
      </c>
    </row>
    <row r="60" spans="2:14">
      <c r="B60" t="s">
        <v>64</v>
      </c>
      <c r="G60" t="str">
        <f t="shared" si="0"/>
        <v/>
      </c>
      <c r="J60" t="str">
        <f t="shared" si="1"/>
        <v/>
      </c>
      <c r="K60" t="str">
        <f t="shared" si="5"/>
        <v/>
      </c>
      <c r="L60" t="str">
        <f t="shared" si="2"/>
        <v/>
      </c>
      <c r="M60" t="str">
        <f t="shared" si="3"/>
        <v/>
      </c>
      <c r="N60" t="str">
        <f t="shared" si="4"/>
        <v/>
      </c>
    </row>
    <row r="61" spans="2:14">
      <c r="B61" s="17" t="s">
        <v>89</v>
      </c>
      <c r="C61">
        <v>2</v>
      </c>
      <c r="D61">
        <v>0.9</v>
      </c>
      <c r="E61">
        <v>15</v>
      </c>
      <c r="F61">
        <v>0</v>
      </c>
      <c r="G61">
        <f t="shared" si="0"/>
        <v>27</v>
      </c>
      <c r="H61">
        <v>0</v>
      </c>
      <c r="I61">
        <f>H61+(E61/2)</f>
        <v>7.5</v>
      </c>
      <c r="J61">
        <f t="shared" si="1"/>
        <v>202.5</v>
      </c>
      <c r="K61">
        <f t="shared" si="5"/>
        <v>1518.75</v>
      </c>
      <c r="L61">
        <f t="shared" si="2"/>
        <v>253.125</v>
      </c>
      <c r="M61">
        <f t="shared" si="3"/>
        <v>0</v>
      </c>
      <c r="N61">
        <f t="shared" si="4"/>
        <v>253.125</v>
      </c>
    </row>
    <row r="62" spans="2:14">
      <c r="B62" s="17" t="s">
        <v>90</v>
      </c>
      <c r="C62">
        <v>2</v>
      </c>
      <c r="D62">
        <v>8.1</v>
      </c>
      <c r="E62">
        <v>0.9</v>
      </c>
      <c r="F62">
        <v>0</v>
      </c>
      <c r="G62">
        <f t="shared" si="0"/>
        <v>14.58</v>
      </c>
      <c r="H62">
        <v>0</v>
      </c>
      <c r="I62">
        <f>H62+(E62/2)</f>
        <v>0.45</v>
      </c>
      <c r="J62">
        <f t="shared" si="1"/>
        <v>6.5609999999999999</v>
      </c>
      <c r="K62">
        <f t="shared" si="5"/>
        <v>2.9524500000000002</v>
      </c>
      <c r="L62">
        <f t="shared" si="2"/>
        <v>0.49207500000000004</v>
      </c>
      <c r="M62">
        <f t="shared" si="3"/>
        <v>0</v>
      </c>
      <c r="N62">
        <f t="shared" si="4"/>
        <v>0.49207500000000004</v>
      </c>
    </row>
    <row r="63" spans="2:14">
      <c r="B63" t="s">
        <v>65</v>
      </c>
      <c r="G63" t="str">
        <f t="shared" si="0"/>
        <v/>
      </c>
      <c r="J63" t="str">
        <f t="shared" si="1"/>
        <v/>
      </c>
      <c r="K63" t="str">
        <f t="shared" si="5"/>
        <v/>
      </c>
      <c r="L63" t="str">
        <f t="shared" si="2"/>
        <v/>
      </c>
      <c r="M63" t="str">
        <f t="shared" si="3"/>
        <v/>
      </c>
      <c r="N63" t="str">
        <f t="shared" si="4"/>
        <v/>
      </c>
    </row>
    <row r="64" spans="2:14">
      <c r="B64" s="17" t="s">
        <v>89</v>
      </c>
      <c r="C64">
        <v>2</v>
      </c>
      <c r="D64">
        <v>0.9</v>
      </c>
      <c r="E64">
        <v>15</v>
      </c>
      <c r="F64">
        <v>0</v>
      </c>
      <c r="G64">
        <f t="shared" si="0"/>
        <v>27</v>
      </c>
      <c r="H64">
        <v>0</v>
      </c>
      <c r="I64">
        <f>H64+(E64/2)</f>
        <v>7.5</v>
      </c>
      <c r="J64">
        <f t="shared" si="1"/>
        <v>202.5</v>
      </c>
      <c r="K64">
        <f t="shared" si="5"/>
        <v>1518.75</v>
      </c>
      <c r="L64">
        <f t="shared" si="2"/>
        <v>253.125</v>
      </c>
      <c r="M64">
        <f t="shared" si="3"/>
        <v>0</v>
      </c>
      <c r="N64">
        <f t="shared" si="4"/>
        <v>253.125</v>
      </c>
    </row>
    <row r="65" spans="2:14">
      <c r="B65" s="17" t="s">
        <v>90</v>
      </c>
      <c r="C65">
        <v>2</v>
      </c>
      <c r="D65">
        <v>8.1</v>
      </c>
      <c r="E65">
        <v>0.9</v>
      </c>
      <c r="F65">
        <v>0</v>
      </c>
      <c r="G65">
        <f t="shared" si="0"/>
        <v>14.58</v>
      </c>
      <c r="H65">
        <v>0</v>
      </c>
      <c r="I65">
        <f>H65+(E65/2)</f>
        <v>0.45</v>
      </c>
      <c r="J65">
        <f t="shared" si="1"/>
        <v>6.5609999999999999</v>
      </c>
      <c r="K65">
        <f t="shared" si="5"/>
        <v>2.9524500000000002</v>
      </c>
      <c r="L65">
        <f t="shared" si="2"/>
        <v>0.49207500000000004</v>
      </c>
      <c r="M65">
        <f t="shared" si="3"/>
        <v>0</v>
      </c>
      <c r="N65">
        <f t="shared" si="4"/>
        <v>0.49207500000000004</v>
      </c>
    </row>
    <row r="66" spans="2:14" s="18" customFormat="1">
      <c r="B66" s="18" t="s">
        <v>66</v>
      </c>
      <c r="G66" t="str">
        <f t="shared" si="0"/>
        <v/>
      </c>
      <c r="J66" t="str">
        <f t="shared" si="1"/>
        <v/>
      </c>
      <c r="K66" t="str">
        <f t="shared" si="5"/>
        <v/>
      </c>
      <c r="L66" t="str">
        <f t="shared" si="2"/>
        <v/>
      </c>
      <c r="M66" t="str">
        <f t="shared" si="3"/>
        <v/>
      </c>
      <c r="N66" t="str">
        <f t="shared" si="4"/>
        <v/>
      </c>
    </row>
    <row r="67" spans="2:14">
      <c r="B67" s="17" t="s">
        <v>89</v>
      </c>
      <c r="C67">
        <v>2</v>
      </c>
      <c r="D67">
        <v>0.9</v>
      </c>
      <c r="E67">
        <v>15</v>
      </c>
      <c r="F67">
        <v>0</v>
      </c>
      <c r="G67">
        <f t="shared" si="0"/>
        <v>27</v>
      </c>
      <c r="H67">
        <f>5944.7362/10</f>
        <v>594.47361999999998</v>
      </c>
      <c r="I67">
        <f>H67+(E67/2)</f>
        <v>601.97361999999998</v>
      </c>
      <c r="J67">
        <f t="shared" si="1"/>
        <v>16253.28774</v>
      </c>
      <c r="K67">
        <f t="shared" si="5"/>
        <v>9784050.4577494171</v>
      </c>
      <c r="L67">
        <f t="shared" si="2"/>
        <v>253.125</v>
      </c>
      <c r="M67">
        <f t="shared" si="3"/>
        <v>0</v>
      </c>
      <c r="N67">
        <f t="shared" si="4"/>
        <v>253.125</v>
      </c>
    </row>
    <row r="68" spans="2:14">
      <c r="B68" s="17" t="s">
        <v>90</v>
      </c>
      <c r="C68">
        <v>2</v>
      </c>
      <c r="D68">
        <v>8.1</v>
      </c>
      <c r="E68">
        <v>0.9</v>
      </c>
      <c r="F68">
        <v>0</v>
      </c>
      <c r="G68">
        <f t="shared" si="0"/>
        <v>14.58</v>
      </c>
      <c r="H68">
        <f>5944.7362/10</f>
        <v>594.47361999999998</v>
      </c>
      <c r="I68">
        <f>H68+(E68/2)</f>
        <v>594.92362000000003</v>
      </c>
      <c r="J68">
        <f t="shared" si="1"/>
        <v>8673.9863796000009</v>
      </c>
      <c r="K68">
        <f t="shared" si="5"/>
        <v>5160359.376782327</v>
      </c>
      <c r="L68">
        <f t="shared" si="2"/>
        <v>0.49207500000000004</v>
      </c>
      <c r="M68">
        <f t="shared" si="3"/>
        <v>0</v>
      </c>
      <c r="N68">
        <f t="shared" si="4"/>
        <v>0.49207500000000004</v>
      </c>
    </row>
    <row r="69" spans="2:14">
      <c r="B69" t="s">
        <v>67</v>
      </c>
      <c r="G69" t="str">
        <f t="shared" si="0"/>
        <v/>
      </c>
      <c r="J69" t="str">
        <f t="shared" si="1"/>
        <v/>
      </c>
      <c r="K69" t="str">
        <f t="shared" si="5"/>
        <v/>
      </c>
      <c r="L69" t="str">
        <f t="shared" si="2"/>
        <v/>
      </c>
      <c r="M69" t="str">
        <f t="shared" si="3"/>
        <v/>
      </c>
      <c r="N69" t="str">
        <f t="shared" si="4"/>
        <v/>
      </c>
    </row>
    <row r="70" spans="2:14">
      <c r="B70" s="17" t="s">
        <v>89</v>
      </c>
      <c r="C70">
        <v>2</v>
      </c>
      <c r="D70">
        <v>0.9</v>
      </c>
      <c r="E70">
        <v>15</v>
      </c>
      <c r="F70">
        <v>0</v>
      </c>
      <c r="G70">
        <f t="shared" si="0"/>
        <v>27</v>
      </c>
      <c r="H70">
        <f>5944.7362/10</f>
        <v>594.47361999999998</v>
      </c>
      <c r="I70">
        <f>H70+(E70/2)</f>
        <v>601.97361999999998</v>
      </c>
      <c r="J70">
        <f t="shared" si="1"/>
        <v>16253.28774</v>
      </c>
      <c r="K70">
        <f t="shared" si="5"/>
        <v>9784050.4577494171</v>
      </c>
      <c r="L70">
        <f t="shared" si="2"/>
        <v>253.125</v>
      </c>
      <c r="M70">
        <f t="shared" si="3"/>
        <v>0</v>
      </c>
      <c r="N70">
        <f t="shared" si="4"/>
        <v>253.125</v>
      </c>
    </row>
    <row r="71" spans="2:14">
      <c r="B71" s="17" t="s">
        <v>90</v>
      </c>
      <c r="C71">
        <v>2</v>
      </c>
      <c r="D71">
        <v>8.1</v>
      </c>
      <c r="E71">
        <v>0.9</v>
      </c>
      <c r="F71">
        <v>0</v>
      </c>
      <c r="G71">
        <f t="shared" si="0"/>
        <v>14.58</v>
      </c>
      <c r="H71">
        <f>5944.7362/10</f>
        <v>594.47361999999998</v>
      </c>
      <c r="I71">
        <f>H71+(E71/2)</f>
        <v>594.92362000000003</v>
      </c>
      <c r="J71">
        <f t="shared" si="1"/>
        <v>8673.9863796000009</v>
      </c>
      <c r="K71">
        <f t="shared" si="5"/>
        <v>5160359.376782327</v>
      </c>
      <c r="L71">
        <f t="shared" si="2"/>
        <v>0.49207500000000004</v>
      </c>
      <c r="M71">
        <f t="shared" si="3"/>
        <v>0</v>
      </c>
      <c r="N71">
        <f t="shared" si="4"/>
        <v>0.49207500000000004</v>
      </c>
    </row>
    <row r="72" spans="2:14">
      <c r="B72" t="s">
        <v>68</v>
      </c>
      <c r="G72" t="str">
        <f t="shared" si="0"/>
        <v/>
      </c>
      <c r="J72" t="str">
        <f t="shared" si="1"/>
        <v/>
      </c>
      <c r="K72" t="str">
        <f t="shared" si="5"/>
        <v/>
      </c>
      <c r="L72" t="str">
        <f t="shared" si="2"/>
        <v/>
      </c>
      <c r="M72" t="str">
        <f t="shared" si="3"/>
        <v/>
      </c>
      <c r="N72" t="str">
        <f t="shared" si="4"/>
        <v/>
      </c>
    </row>
    <row r="73" spans="2:14">
      <c r="B73" s="17" t="s">
        <v>89</v>
      </c>
      <c r="C73">
        <v>2</v>
      </c>
      <c r="D73">
        <v>0.9</v>
      </c>
      <c r="E73">
        <v>15</v>
      </c>
      <c r="F73">
        <v>0</v>
      </c>
      <c r="G73">
        <f t="shared" si="0"/>
        <v>27</v>
      </c>
      <c r="H73">
        <f>5944.7362/10</f>
        <v>594.47361999999998</v>
      </c>
      <c r="I73">
        <f>H73+(E73/2)</f>
        <v>601.97361999999998</v>
      </c>
      <c r="J73">
        <f t="shared" si="1"/>
        <v>16253.28774</v>
      </c>
      <c r="K73">
        <f t="shared" si="5"/>
        <v>9784050.4577494171</v>
      </c>
      <c r="L73">
        <f t="shared" si="2"/>
        <v>253.125</v>
      </c>
      <c r="M73">
        <f t="shared" si="3"/>
        <v>0</v>
      </c>
      <c r="N73">
        <f t="shared" si="4"/>
        <v>253.125</v>
      </c>
    </row>
    <row r="74" spans="2:14">
      <c r="B74" s="17" t="s">
        <v>90</v>
      </c>
      <c r="C74">
        <v>2</v>
      </c>
      <c r="D74">
        <v>8.1</v>
      </c>
      <c r="E74">
        <v>0.9</v>
      </c>
      <c r="F74">
        <v>0</v>
      </c>
      <c r="G74">
        <f t="shared" si="0"/>
        <v>14.58</v>
      </c>
      <c r="H74">
        <f>5944.7362/10</f>
        <v>594.47361999999998</v>
      </c>
      <c r="I74">
        <f>H74+(E74/2)</f>
        <v>594.92362000000003</v>
      </c>
      <c r="J74">
        <f t="shared" si="1"/>
        <v>8673.9863796000009</v>
      </c>
      <c r="K74">
        <f t="shared" si="5"/>
        <v>5160359.376782327</v>
      </c>
      <c r="L74">
        <f t="shared" si="2"/>
        <v>0.49207500000000004</v>
      </c>
      <c r="M74">
        <f t="shared" si="3"/>
        <v>0</v>
      </c>
      <c r="N74">
        <f t="shared" si="4"/>
        <v>0.49207500000000004</v>
      </c>
    </row>
    <row r="75" spans="2:14">
      <c r="B75" t="s">
        <v>69</v>
      </c>
      <c r="G75" t="str">
        <f t="shared" ref="G75:G138" si="6">IF(C75="","",C75*D75*E75)</f>
        <v/>
      </c>
      <c r="J75" t="str">
        <f t="shared" ref="J75:J138" si="7">IF(C75="","",G75*I75)</f>
        <v/>
      </c>
      <c r="K75" t="str">
        <f t="shared" si="5"/>
        <v/>
      </c>
      <c r="L75" t="str">
        <f t="shared" ref="L75:L138" si="8">IF(C75="","",1/12*D75*E75^3*(COS(DEGREES(F75)))^2)</f>
        <v/>
      </c>
      <c r="M75" t="str">
        <f t="shared" ref="M75:M138" si="9">IF(C75="","",1/12*D75*E75^3*(SIN(DEGREES(F75)))^2)</f>
        <v/>
      </c>
      <c r="N75" t="str">
        <f t="shared" ref="N75:N138" si="10">IF(C75="","",L75+M75)</f>
        <v/>
      </c>
    </row>
    <row r="76" spans="2:14">
      <c r="B76" s="17" t="s">
        <v>89</v>
      </c>
      <c r="C76">
        <v>2</v>
      </c>
      <c r="D76">
        <v>0.9</v>
      </c>
      <c r="E76">
        <v>15</v>
      </c>
      <c r="F76">
        <v>0</v>
      </c>
      <c r="G76">
        <f t="shared" si="6"/>
        <v>27</v>
      </c>
      <c r="H76">
        <f>5944.7362/10</f>
        <v>594.47361999999998</v>
      </c>
      <c r="I76">
        <f>H76+(E76/2)</f>
        <v>601.97361999999998</v>
      </c>
      <c r="J76">
        <f t="shared" si="7"/>
        <v>16253.28774</v>
      </c>
      <c r="K76">
        <f t="shared" ref="K76:K139" si="11">IF(C76="","",G76*I76^2)</f>
        <v>9784050.4577494171</v>
      </c>
      <c r="L76">
        <f t="shared" si="8"/>
        <v>253.125</v>
      </c>
      <c r="M76">
        <f t="shared" si="9"/>
        <v>0</v>
      </c>
      <c r="N76">
        <f t="shared" si="10"/>
        <v>253.125</v>
      </c>
    </row>
    <row r="77" spans="2:14">
      <c r="B77" s="17" t="s">
        <v>90</v>
      </c>
      <c r="C77">
        <v>2</v>
      </c>
      <c r="D77">
        <v>8.1</v>
      </c>
      <c r="E77">
        <v>0.9</v>
      </c>
      <c r="F77">
        <v>0</v>
      </c>
      <c r="G77">
        <f t="shared" si="6"/>
        <v>14.58</v>
      </c>
      <c r="H77">
        <f>5944.7362/10</f>
        <v>594.47361999999998</v>
      </c>
      <c r="I77">
        <f>H77+(E77/2)</f>
        <v>594.92362000000003</v>
      </c>
      <c r="J77">
        <f t="shared" si="7"/>
        <v>8673.9863796000009</v>
      </c>
      <c r="K77">
        <f t="shared" si="11"/>
        <v>5160359.376782327</v>
      </c>
      <c r="L77">
        <f t="shared" si="8"/>
        <v>0.49207500000000004</v>
      </c>
      <c r="M77">
        <f t="shared" si="9"/>
        <v>0</v>
      </c>
      <c r="N77">
        <f t="shared" si="10"/>
        <v>0.49207500000000004</v>
      </c>
    </row>
    <row r="78" spans="2:14">
      <c r="B78" t="s">
        <v>70</v>
      </c>
      <c r="G78" t="str">
        <f t="shared" si="6"/>
        <v/>
      </c>
      <c r="J78" t="str">
        <f t="shared" si="7"/>
        <v/>
      </c>
      <c r="K78" t="str">
        <f t="shared" si="11"/>
        <v/>
      </c>
      <c r="L78" t="str">
        <f t="shared" si="8"/>
        <v/>
      </c>
      <c r="M78" t="str">
        <f t="shared" si="9"/>
        <v/>
      </c>
      <c r="N78" t="str">
        <f t="shared" si="10"/>
        <v/>
      </c>
    </row>
    <row r="79" spans="2:14">
      <c r="B79" s="17" t="s">
        <v>89</v>
      </c>
      <c r="C79">
        <v>2</v>
      </c>
      <c r="D79">
        <v>0.9</v>
      </c>
      <c r="E79">
        <v>15</v>
      </c>
      <c r="F79">
        <v>0</v>
      </c>
      <c r="G79">
        <f t="shared" si="6"/>
        <v>27</v>
      </c>
      <c r="H79">
        <f>5944.7362/10</f>
        <v>594.47361999999998</v>
      </c>
      <c r="I79">
        <f>H79+(E79/2)</f>
        <v>601.97361999999998</v>
      </c>
      <c r="J79">
        <f t="shared" si="7"/>
        <v>16253.28774</v>
      </c>
      <c r="K79">
        <f t="shared" si="11"/>
        <v>9784050.4577494171</v>
      </c>
      <c r="L79">
        <f t="shared" si="8"/>
        <v>253.125</v>
      </c>
      <c r="M79">
        <f t="shared" si="9"/>
        <v>0</v>
      </c>
      <c r="N79">
        <f t="shared" si="10"/>
        <v>253.125</v>
      </c>
    </row>
    <row r="80" spans="2:14">
      <c r="B80" s="17" t="s">
        <v>90</v>
      </c>
      <c r="C80">
        <v>2</v>
      </c>
      <c r="D80">
        <v>8.1</v>
      </c>
      <c r="E80">
        <v>0.9</v>
      </c>
      <c r="F80">
        <v>0</v>
      </c>
      <c r="G80">
        <f t="shared" si="6"/>
        <v>14.58</v>
      </c>
      <c r="H80">
        <f>5944.7362/10</f>
        <v>594.47361999999998</v>
      </c>
      <c r="I80">
        <f>H80+(E80/2)</f>
        <v>594.92362000000003</v>
      </c>
      <c r="J80">
        <f t="shared" si="7"/>
        <v>8673.9863796000009</v>
      </c>
      <c r="K80">
        <f t="shared" si="11"/>
        <v>5160359.376782327</v>
      </c>
      <c r="L80">
        <f t="shared" si="8"/>
        <v>0.49207500000000004</v>
      </c>
      <c r="M80">
        <f t="shared" si="9"/>
        <v>0</v>
      </c>
      <c r="N80">
        <f t="shared" si="10"/>
        <v>0.49207500000000004</v>
      </c>
    </row>
    <row r="81" spans="2:14">
      <c r="B81" t="s">
        <v>71</v>
      </c>
      <c r="G81" t="str">
        <f t="shared" si="6"/>
        <v/>
      </c>
      <c r="J81" t="str">
        <f t="shared" si="7"/>
        <v/>
      </c>
      <c r="K81" t="str">
        <f t="shared" si="11"/>
        <v/>
      </c>
      <c r="L81" t="str">
        <f t="shared" si="8"/>
        <v/>
      </c>
      <c r="M81" t="str">
        <f t="shared" si="9"/>
        <v/>
      </c>
      <c r="N81" t="str">
        <f t="shared" si="10"/>
        <v/>
      </c>
    </row>
    <row r="82" spans="2:14">
      <c r="B82" s="17" t="s">
        <v>89</v>
      </c>
      <c r="C82">
        <v>2</v>
      </c>
      <c r="D82">
        <v>0.9</v>
      </c>
      <c r="E82">
        <v>15</v>
      </c>
      <c r="F82">
        <v>0</v>
      </c>
      <c r="G82">
        <f t="shared" si="6"/>
        <v>27</v>
      </c>
      <c r="H82">
        <f>5944.7362/10</f>
        <v>594.47361999999998</v>
      </c>
      <c r="I82">
        <f>H82+(E82/2)</f>
        <v>601.97361999999998</v>
      </c>
      <c r="J82">
        <f t="shared" si="7"/>
        <v>16253.28774</v>
      </c>
      <c r="K82">
        <f t="shared" si="11"/>
        <v>9784050.4577494171</v>
      </c>
      <c r="L82">
        <f t="shared" si="8"/>
        <v>253.125</v>
      </c>
      <c r="M82">
        <f t="shared" si="9"/>
        <v>0</v>
      </c>
      <c r="N82">
        <f t="shared" si="10"/>
        <v>253.125</v>
      </c>
    </row>
    <row r="83" spans="2:14">
      <c r="B83" s="17" t="s">
        <v>90</v>
      </c>
      <c r="C83">
        <v>2</v>
      </c>
      <c r="D83">
        <v>8.1</v>
      </c>
      <c r="E83">
        <v>0.9</v>
      </c>
      <c r="F83">
        <v>0</v>
      </c>
      <c r="G83">
        <f t="shared" si="6"/>
        <v>14.58</v>
      </c>
      <c r="H83">
        <f>5944.7362/10</f>
        <v>594.47361999999998</v>
      </c>
      <c r="I83">
        <f>H83+(E83/2)</f>
        <v>594.92362000000003</v>
      </c>
      <c r="J83">
        <f t="shared" si="7"/>
        <v>8673.9863796000009</v>
      </c>
      <c r="K83">
        <f t="shared" si="11"/>
        <v>5160359.376782327</v>
      </c>
      <c r="L83">
        <f t="shared" si="8"/>
        <v>0.49207500000000004</v>
      </c>
      <c r="M83">
        <f t="shared" si="9"/>
        <v>0</v>
      </c>
      <c r="N83">
        <f t="shared" si="10"/>
        <v>0.49207500000000004</v>
      </c>
    </row>
    <row r="84" spans="2:14">
      <c r="B84" t="s">
        <v>72</v>
      </c>
      <c r="G84" t="str">
        <f t="shared" si="6"/>
        <v/>
      </c>
      <c r="J84" t="str">
        <f t="shared" si="7"/>
        <v/>
      </c>
      <c r="K84" t="str">
        <f t="shared" si="11"/>
        <v/>
      </c>
      <c r="L84" t="str">
        <f t="shared" si="8"/>
        <v/>
      </c>
      <c r="M84" t="str">
        <f t="shared" si="9"/>
        <v/>
      </c>
      <c r="N84" t="str">
        <f t="shared" si="10"/>
        <v/>
      </c>
    </row>
    <row r="85" spans="2:14">
      <c r="B85" s="17" t="s">
        <v>89</v>
      </c>
      <c r="C85">
        <v>2</v>
      </c>
      <c r="D85">
        <v>0.9</v>
      </c>
      <c r="E85">
        <v>15</v>
      </c>
      <c r="F85">
        <v>0</v>
      </c>
      <c r="G85">
        <f t="shared" si="6"/>
        <v>27</v>
      </c>
      <c r="H85">
        <f>5944.7362/10</f>
        <v>594.47361999999998</v>
      </c>
      <c r="I85">
        <f>H85+(E85/2)</f>
        <v>601.97361999999998</v>
      </c>
      <c r="J85">
        <f t="shared" si="7"/>
        <v>16253.28774</v>
      </c>
      <c r="K85">
        <f t="shared" si="11"/>
        <v>9784050.4577494171</v>
      </c>
      <c r="L85">
        <f t="shared" si="8"/>
        <v>253.125</v>
      </c>
      <c r="M85">
        <f t="shared" si="9"/>
        <v>0</v>
      </c>
      <c r="N85">
        <f t="shared" si="10"/>
        <v>253.125</v>
      </c>
    </row>
    <row r="86" spans="2:14">
      <c r="B86" s="17" t="s">
        <v>90</v>
      </c>
      <c r="C86">
        <v>2</v>
      </c>
      <c r="D86">
        <v>8.1</v>
      </c>
      <c r="E86">
        <v>0.9</v>
      </c>
      <c r="F86">
        <v>0</v>
      </c>
      <c r="G86">
        <f t="shared" si="6"/>
        <v>14.58</v>
      </c>
      <c r="H86">
        <f>5944.7362/10</f>
        <v>594.47361999999998</v>
      </c>
      <c r="I86">
        <f>H86+(E86/2)</f>
        <v>594.92362000000003</v>
      </c>
      <c r="J86">
        <f t="shared" si="7"/>
        <v>8673.9863796000009</v>
      </c>
      <c r="K86">
        <f t="shared" si="11"/>
        <v>5160359.376782327</v>
      </c>
      <c r="L86">
        <f t="shared" si="8"/>
        <v>0.49207500000000004</v>
      </c>
      <c r="M86">
        <f t="shared" si="9"/>
        <v>0</v>
      </c>
      <c r="N86">
        <f t="shared" si="10"/>
        <v>0.49207500000000004</v>
      </c>
    </row>
    <row r="87" spans="2:14">
      <c r="B87" t="s">
        <v>73</v>
      </c>
      <c r="G87" t="str">
        <f t="shared" si="6"/>
        <v/>
      </c>
      <c r="J87" t="str">
        <f t="shared" si="7"/>
        <v/>
      </c>
      <c r="K87" t="str">
        <f t="shared" si="11"/>
        <v/>
      </c>
      <c r="L87" t="str">
        <f t="shared" si="8"/>
        <v/>
      </c>
      <c r="M87" t="str">
        <f t="shared" si="9"/>
        <v/>
      </c>
      <c r="N87" t="str">
        <f t="shared" si="10"/>
        <v/>
      </c>
    </row>
    <row r="88" spans="2:14">
      <c r="B88" s="17" t="s">
        <v>89</v>
      </c>
      <c r="C88">
        <v>2</v>
      </c>
      <c r="D88">
        <v>0.9</v>
      </c>
      <c r="E88">
        <v>15</v>
      </c>
      <c r="F88">
        <v>0</v>
      </c>
      <c r="G88">
        <f t="shared" si="6"/>
        <v>27</v>
      </c>
      <c r="H88">
        <f>5944.7362/10</f>
        <v>594.47361999999998</v>
      </c>
      <c r="I88">
        <f>H88+(E88/2)</f>
        <v>601.97361999999998</v>
      </c>
      <c r="J88">
        <f t="shared" si="7"/>
        <v>16253.28774</v>
      </c>
      <c r="K88">
        <f t="shared" si="11"/>
        <v>9784050.4577494171</v>
      </c>
      <c r="L88">
        <f t="shared" si="8"/>
        <v>253.125</v>
      </c>
      <c r="M88">
        <f t="shared" si="9"/>
        <v>0</v>
      </c>
      <c r="N88">
        <f t="shared" si="10"/>
        <v>253.125</v>
      </c>
    </row>
    <row r="89" spans="2:14">
      <c r="B89" s="17" t="s">
        <v>90</v>
      </c>
      <c r="C89">
        <v>2</v>
      </c>
      <c r="D89">
        <v>8.1</v>
      </c>
      <c r="E89">
        <v>0.9</v>
      </c>
      <c r="F89">
        <v>0</v>
      </c>
      <c r="G89">
        <f t="shared" si="6"/>
        <v>14.58</v>
      </c>
      <c r="H89">
        <f>5944.7362/10</f>
        <v>594.47361999999998</v>
      </c>
      <c r="I89">
        <f>H89+(E89/2)</f>
        <v>594.92362000000003</v>
      </c>
      <c r="J89">
        <f t="shared" si="7"/>
        <v>8673.9863796000009</v>
      </c>
      <c r="K89">
        <f t="shared" si="11"/>
        <v>5160359.376782327</v>
      </c>
      <c r="L89">
        <f t="shared" si="8"/>
        <v>0.49207500000000004</v>
      </c>
      <c r="M89">
        <f t="shared" si="9"/>
        <v>0</v>
      </c>
      <c r="N89">
        <f t="shared" si="10"/>
        <v>0.49207500000000004</v>
      </c>
    </row>
    <row r="90" spans="2:14">
      <c r="B90" t="s">
        <v>74</v>
      </c>
      <c r="G90" t="str">
        <f t="shared" si="6"/>
        <v/>
      </c>
      <c r="J90" t="str">
        <f t="shared" si="7"/>
        <v/>
      </c>
      <c r="K90" t="str">
        <f t="shared" si="11"/>
        <v/>
      </c>
      <c r="L90" t="str">
        <f t="shared" si="8"/>
        <v/>
      </c>
      <c r="M90" t="str">
        <f t="shared" si="9"/>
        <v/>
      </c>
      <c r="N90" t="str">
        <f t="shared" si="10"/>
        <v/>
      </c>
    </row>
    <row r="91" spans="2:14">
      <c r="B91" s="17" t="s">
        <v>89</v>
      </c>
      <c r="C91">
        <v>2</v>
      </c>
      <c r="D91">
        <v>0.9</v>
      </c>
      <c r="E91">
        <v>15</v>
      </c>
      <c r="F91">
        <v>0</v>
      </c>
      <c r="G91">
        <f t="shared" si="6"/>
        <v>27</v>
      </c>
      <c r="H91">
        <f>5944.7362/10</f>
        <v>594.47361999999998</v>
      </c>
      <c r="I91">
        <f>H91+(E91/2)</f>
        <v>601.97361999999998</v>
      </c>
      <c r="J91">
        <f t="shared" si="7"/>
        <v>16253.28774</v>
      </c>
      <c r="K91">
        <f t="shared" si="11"/>
        <v>9784050.4577494171</v>
      </c>
      <c r="L91">
        <f t="shared" si="8"/>
        <v>253.125</v>
      </c>
      <c r="M91">
        <f t="shared" si="9"/>
        <v>0</v>
      </c>
      <c r="N91">
        <f t="shared" si="10"/>
        <v>253.125</v>
      </c>
    </row>
    <row r="92" spans="2:14">
      <c r="B92" s="17" t="s">
        <v>90</v>
      </c>
      <c r="C92">
        <v>2</v>
      </c>
      <c r="D92">
        <v>8.1</v>
      </c>
      <c r="E92">
        <v>0.9</v>
      </c>
      <c r="F92">
        <v>0</v>
      </c>
      <c r="G92">
        <f t="shared" si="6"/>
        <v>14.58</v>
      </c>
      <c r="H92">
        <f>5944.7362/10</f>
        <v>594.47361999999998</v>
      </c>
      <c r="I92">
        <f>H92+(E92/2)</f>
        <v>594.92362000000003</v>
      </c>
      <c r="J92">
        <f t="shared" si="7"/>
        <v>8673.9863796000009</v>
      </c>
      <c r="K92">
        <f t="shared" si="11"/>
        <v>5160359.376782327</v>
      </c>
      <c r="L92">
        <f t="shared" si="8"/>
        <v>0.49207500000000004</v>
      </c>
      <c r="M92">
        <f t="shared" si="9"/>
        <v>0</v>
      </c>
      <c r="N92">
        <f t="shared" si="10"/>
        <v>0.49207500000000004</v>
      </c>
    </row>
    <row r="93" spans="2:14">
      <c r="B93" t="s">
        <v>75</v>
      </c>
      <c r="G93" t="str">
        <f t="shared" si="6"/>
        <v/>
      </c>
      <c r="J93" t="str">
        <f t="shared" si="7"/>
        <v/>
      </c>
      <c r="K93" t="str">
        <f t="shared" si="11"/>
        <v/>
      </c>
      <c r="L93" t="str">
        <f t="shared" si="8"/>
        <v/>
      </c>
      <c r="M93" t="str">
        <f t="shared" si="9"/>
        <v/>
      </c>
      <c r="N93" t="str">
        <f t="shared" si="10"/>
        <v/>
      </c>
    </row>
    <row r="94" spans="2:14">
      <c r="B94" s="17" t="s">
        <v>89</v>
      </c>
      <c r="C94">
        <v>2</v>
      </c>
      <c r="D94">
        <v>0.9</v>
      </c>
      <c r="E94">
        <v>15</v>
      </c>
      <c r="F94">
        <v>0</v>
      </c>
      <c r="G94">
        <f t="shared" si="6"/>
        <v>27</v>
      </c>
      <c r="H94">
        <f>5944.7362/10</f>
        <v>594.47361999999998</v>
      </c>
      <c r="I94">
        <f>H94+(E94/2)</f>
        <v>601.97361999999998</v>
      </c>
      <c r="J94">
        <f t="shared" si="7"/>
        <v>16253.28774</v>
      </c>
      <c r="K94">
        <f t="shared" si="11"/>
        <v>9784050.4577494171</v>
      </c>
      <c r="L94">
        <f t="shared" si="8"/>
        <v>253.125</v>
      </c>
      <c r="M94">
        <f t="shared" si="9"/>
        <v>0</v>
      </c>
      <c r="N94">
        <f t="shared" si="10"/>
        <v>253.125</v>
      </c>
    </row>
    <row r="95" spans="2:14">
      <c r="B95" s="17" t="s">
        <v>90</v>
      </c>
      <c r="C95">
        <v>2</v>
      </c>
      <c r="D95">
        <v>8.1</v>
      </c>
      <c r="E95">
        <v>0.9</v>
      </c>
      <c r="F95">
        <v>0</v>
      </c>
      <c r="G95">
        <f t="shared" si="6"/>
        <v>14.58</v>
      </c>
      <c r="H95">
        <f>5944.7362/10</f>
        <v>594.47361999999998</v>
      </c>
      <c r="I95">
        <f>H95+(E95/2)</f>
        <v>594.92362000000003</v>
      </c>
      <c r="J95">
        <f t="shared" si="7"/>
        <v>8673.9863796000009</v>
      </c>
      <c r="K95">
        <f t="shared" si="11"/>
        <v>5160359.376782327</v>
      </c>
      <c r="L95">
        <f t="shared" si="8"/>
        <v>0.49207500000000004</v>
      </c>
      <c r="M95">
        <f t="shared" si="9"/>
        <v>0</v>
      </c>
      <c r="N95">
        <f t="shared" si="10"/>
        <v>0.49207500000000004</v>
      </c>
    </row>
    <row r="96" spans="2:14">
      <c r="B96" t="s">
        <v>76</v>
      </c>
      <c r="G96" t="str">
        <f t="shared" si="6"/>
        <v/>
      </c>
      <c r="J96" t="str">
        <f t="shared" si="7"/>
        <v/>
      </c>
      <c r="K96" t="str">
        <f t="shared" si="11"/>
        <v/>
      </c>
      <c r="L96" t="str">
        <f t="shared" si="8"/>
        <v/>
      </c>
      <c r="M96" t="str">
        <f t="shared" si="9"/>
        <v/>
      </c>
      <c r="N96" t="str">
        <f t="shared" si="10"/>
        <v/>
      </c>
    </row>
    <row r="97" spans="2:14">
      <c r="B97" s="17" t="s">
        <v>89</v>
      </c>
      <c r="C97">
        <v>2</v>
      </c>
      <c r="D97">
        <v>0.9</v>
      </c>
      <c r="E97">
        <v>15</v>
      </c>
      <c r="F97">
        <v>0</v>
      </c>
      <c r="G97">
        <f t="shared" si="6"/>
        <v>27</v>
      </c>
      <c r="H97">
        <f>5944.7362/10</f>
        <v>594.47361999999998</v>
      </c>
      <c r="I97">
        <f>H97+(E97/2)</f>
        <v>601.97361999999998</v>
      </c>
      <c r="J97">
        <f t="shared" si="7"/>
        <v>16253.28774</v>
      </c>
      <c r="K97">
        <f t="shared" si="11"/>
        <v>9784050.4577494171</v>
      </c>
      <c r="L97">
        <f t="shared" si="8"/>
        <v>253.125</v>
      </c>
      <c r="M97">
        <f t="shared" si="9"/>
        <v>0</v>
      </c>
      <c r="N97">
        <f t="shared" si="10"/>
        <v>253.125</v>
      </c>
    </row>
    <row r="98" spans="2:14">
      <c r="B98" s="17" t="s">
        <v>90</v>
      </c>
      <c r="C98">
        <v>2</v>
      </c>
      <c r="D98">
        <v>8.1</v>
      </c>
      <c r="E98">
        <v>0.9</v>
      </c>
      <c r="F98">
        <v>0</v>
      </c>
      <c r="G98">
        <f t="shared" si="6"/>
        <v>14.58</v>
      </c>
      <c r="H98">
        <f>5944.7362/10</f>
        <v>594.47361999999998</v>
      </c>
      <c r="I98">
        <f>H98+(E98/2)</f>
        <v>594.92362000000003</v>
      </c>
      <c r="J98">
        <f t="shared" si="7"/>
        <v>8673.9863796000009</v>
      </c>
      <c r="K98">
        <f t="shared" si="11"/>
        <v>5160359.376782327</v>
      </c>
      <c r="L98">
        <f t="shared" si="8"/>
        <v>0.49207500000000004</v>
      </c>
      <c r="M98">
        <f t="shared" si="9"/>
        <v>0</v>
      </c>
      <c r="N98">
        <f t="shared" si="10"/>
        <v>0.49207500000000004</v>
      </c>
    </row>
    <row r="99" spans="2:14">
      <c r="B99" t="s">
        <v>77</v>
      </c>
      <c r="G99" t="str">
        <f t="shared" si="6"/>
        <v/>
      </c>
      <c r="J99" t="str">
        <f t="shared" si="7"/>
        <v/>
      </c>
      <c r="K99" t="str">
        <f t="shared" si="11"/>
        <v/>
      </c>
      <c r="L99" t="str">
        <f t="shared" si="8"/>
        <v/>
      </c>
      <c r="M99" t="str">
        <f t="shared" si="9"/>
        <v/>
      </c>
      <c r="N99" t="str">
        <f t="shared" si="10"/>
        <v/>
      </c>
    </row>
    <row r="100" spans="2:14">
      <c r="B100" s="17" t="s">
        <v>89</v>
      </c>
      <c r="C100">
        <v>2</v>
      </c>
      <c r="D100">
        <v>0.9</v>
      </c>
      <c r="E100">
        <v>15</v>
      </c>
      <c r="F100">
        <v>0</v>
      </c>
      <c r="G100">
        <f t="shared" si="6"/>
        <v>27</v>
      </c>
      <c r="H100">
        <f>5944.7362/10</f>
        <v>594.47361999999998</v>
      </c>
      <c r="I100">
        <f>H100+(E100/2)</f>
        <v>601.97361999999998</v>
      </c>
      <c r="J100">
        <f t="shared" si="7"/>
        <v>16253.28774</v>
      </c>
      <c r="K100">
        <f t="shared" si="11"/>
        <v>9784050.4577494171</v>
      </c>
      <c r="L100">
        <f t="shared" si="8"/>
        <v>253.125</v>
      </c>
      <c r="M100">
        <f t="shared" si="9"/>
        <v>0</v>
      </c>
      <c r="N100">
        <f t="shared" si="10"/>
        <v>253.125</v>
      </c>
    </row>
    <row r="101" spans="2:14">
      <c r="B101" s="17" t="s">
        <v>90</v>
      </c>
      <c r="C101">
        <v>2</v>
      </c>
      <c r="D101">
        <v>8.1</v>
      </c>
      <c r="E101">
        <v>0.9</v>
      </c>
      <c r="F101">
        <v>0</v>
      </c>
      <c r="G101">
        <f t="shared" si="6"/>
        <v>14.58</v>
      </c>
      <c r="H101">
        <f>5944.7362/10</f>
        <v>594.47361999999998</v>
      </c>
      <c r="I101">
        <f>H101+(E101/2)</f>
        <v>594.92362000000003</v>
      </c>
      <c r="J101">
        <f t="shared" si="7"/>
        <v>8673.9863796000009</v>
      </c>
      <c r="K101">
        <f t="shared" si="11"/>
        <v>5160359.376782327</v>
      </c>
      <c r="L101">
        <f t="shared" si="8"/>
        <v>0.49207500000000004</v>
      </c>
      <c r="M101">
        <f t="shared" si="9"/>
        <v>0</v>
      </c>
      <c r="N101">
        <f t="shared" si="10"/>
        <v>0.49207500000000004</v>
      </c>
    </row>
    <row r="102" spans="2:14">
      <c r="B102" t="s">
        <v>78</v>
      </c>
      <c r="G102" t="str">
        <f t="shared" si="6"/>
        <v/>
      </c>
      <c r="J102" t="str">
        <f t="shared" si="7"/>
        <v/>
      </c>
      <c r="K102" t="str">
        <f t="shared" si="11"/>
        <v/>
      </c>
      <c r="L102" t="str">
        <f t="shared" si="8"/>
        <v/>
      </c>
      <c r="M102" t="str">
        <f t="shared" si="9"/>
        <v/>
      </c>
      <c r="N102" t="str">
        <f t="shared" si="10"/>
        <v/>
      </c>
    </row>
    <row r="103" spans="2:14">
      <c r="B103" s="17" t="s">
        <v>89</v>
      </c>
      <c r="C103">
        <v>2</v>
      </c>
      <c r="D103">
        <v>0.9</v>
      </c>
      <c r="E103">
        <v>15</v>
      </c>
      <c r="F103">
        <v>0</v>
      </c>
      <c r="G103">
        <f t="shared" si="6"/>
        <v>27</v>
      </c>
      <c r="H103">
        <f>5944.7362/10</f>
        <v>594.47361999999998</v>
      </c>
      <c r="I103">
        <f>H103+(E103/2)</f>
        <v>601.97361999999998</v>
      </c>
      <c r="J103">
        <f t="shared" si="7"/>
        <v>16253.28774</v>
      </c>
      <c r="K103">
        <f t="shared" si="11"/>
        <v>9784050.4577494171</v>
      </c>
      <c r="L103">
        <f t="shared" si="8"/>
        <v>253.125</v>
      </c>
      <c r="M103">
        <f t="shared" si="9"/>
        <v>0</v>
      </c>
      <c r="N103">
        <f t="shared" si="10"/>
        <v>253.125</v>
      </c>
    </row>
    <row r="104" spans="2:14">
      <c r="B104" s="17" t="s">
        <v>90</v>
      </c>
      <c r="C104">
        <v>2</v>
      </c>
      <c r="D104">
        <v>8.1</v>
      </c>
      <c r="E104">
        <v>0.9</v>
      </c>
      <c r="F104">
        <v>0</v>
      </c>
      <c r="G104">
        <f t="shared" si="6"/>
        <v>14.58</v>
      </c>
      <c r="H104">
        <f>5944.7362/10</f>
        <v>594.47361999999998</v>
      </c>
      <c r="I104">
        <f>H104+(E104/2)</f>
        <v>594.92362000000003</v>
      </c>
      <c r="J104">
        <f t="shared" si="7"/>
        <v>8673.9863796000009</v>
      </c>
      <c r="K104">
        <f t="shared" si="11"/>
        <v>5160359.376782327</v>
      </c>
      <c r="L104">
        <f t="shared" si="8"/>
        <v>0.49207500000000004</v>
      </c>
      <c r="M104">
        <f t="shared" si="9"/>
        <v>0</v>
      </c>
      <c r="N104">
        <f t="shared" si="10"/>
        <v>0.49207500000000004</v>
      </c>
    </row>
    <row r="105" spans="2:14">
      <c r="B105" t="s">
        <v>79</v>
      </c>
      <c r="G105" t="str">
        <f t="shared" si="6"/>
        <v/>
      </c>
      <c r="J105" t="str">
        <f t="shared" si="7"/>
        <v/>
      </c>
      <c r="K105" t="str">
        <f t="shared" si="11"/>
        <v/>
      </c>
      <c r="L105" t="str">
        <f t="shared" si="8"/>
        <v/>
      </c>
      <c r="M105" t="str">
        <f t="shared" si="9"/>
        <v/>
      </c>
      <c r="N105" t="str">
        <f t="shared" si="10"/>
        <v/>
      </c>
    </row>
    <row r="106" spans="2:14">
      <c r="B106" s="17" t="s">
        <v>89</v>
      </c>
      <c r="C106">
        <v>2</v>
      </c>
      <c r="D106">
        <v>0.9</v>
      </c>
      <c r="E106">
        <v>15</v>
      </c>
      <c r="F106">
        <v>0</v>
      </c>
      <c r="G106">
        <f t="shared" si="6"/>
        <v>27</v>
      </c>
      <c r="H106">
        <f>5944.7362/10</f>
        <v>594.47361999999998</v>
      </c>
      <c r="I106">
        <f>H106+(E106/2)</f>
        <v>601.97361999999998</v>
      </c>
      <c r="J106">
        <f t="shared" si="7"/>
        <v>16253.28774</v>
      </c>
      <c r="K106">
        <f t="shared" si="11"/>
        <v>9784050.4577494171</v>
      </c>
      <c r="L106">
        <f t="shared" si="8"/>
        <v>253.125</v>
      </c>
      <c r="M106">
        <f t="shared" si="9"/>
        <v>0</v>
      </c>
      <c r="N106">
        <f t="shared" si="10"/>
        <v>253.125</v>
      </c>
    </row>
    <row r="107" spans="2:14">
      <c r="B107" s="17" t="s">
        <v>90</v>
      </c>
      <c r="C107">
        <v>2</v>
      </c>
      <c r="D107">
        <v>8.1</v>
      </c>
      <c r="E107">
        <v>0.9</v>
      </c>
      <c r="F107">
        <v>0</v>
      </c>
      <c r="G107">
        <f t="shared" si="6"/>
        <v>14.58</v>
      </c>
      <c r="H107">
        <f>5944.7362/10</f>
        <v>594.47361999999998</v>
      </c>
      <c r="I107">
        <f>H107+(E107/2)</f>
        <v>594.92362000000003</v>
      </c>
      <c r="J107">
        <f t="shared" si="7"/>
        <v>8673.9863796000009</v>
      </c>
      <c r="K107">
        <f t="shared" si="11"/>
        <v>5160359.376782327</v>
      </c>
      <c r="L107">
        <f t="shared" si="8"/>
        <v>0.49207500000000004</v>
      </c>
      <c r="M107">
        <f t="shared" si="9"/>
        <v>0</v>
      </c>
      <c r="N107">
        <f t="shared" si="10"/>
        <v>0.49207500000000004</v>
      </c>
    </row>
    <row r="108" spans="2:14">
      <c r="B108" t="s">
        <v>80</v>
      </c>
      <c r="G108" t="str">
        <f t="shared" si="6"/>
        <v/>
      </c>
      <c r="J108" t="str">
        <f t="shared" si="7"/>
        <v/>
      </c>
      <c r="K108" t="str">
        <f t="shared" si="11"/>
        <v/>
      </c>
      <c r="L108" t="str">
        <f t="shared" si="8"/>
        <v/>
      </c>
      <c r="M108" t="str">
        <f t="shared" si="9"/>
        <v/>
      </c>
      <c r="N108" t="str">
        <f t="shared" si="10"/>
        <v/>
      </c>
    </row>
    <row r="109" spans="2:14">
      <c r="B109" s="17" t="s">
        <v>89</v>
      </c>
      <c r="C109">
        <v>2</v>
      </c>
      <c r="D109">
        <v>0.9</v>
      </c>
      <c r="E109">
        <v>15</v>
      </c>
      <c r="F109">
        <v>0</v>
      </c>
      <c r="G109">
        <f t="shared" si="6"/>
        <v>27</v>
      </c>
      <c r="H109">
        <f>5944.7362/10</f>
        <v>594.47361999999998</v>
      </c>
      <c r="I109">
        <f>H109+(E109/2)</f>
        <v>601.97361999999998</v>
      </c>
      <c r="J109">
        <f t="shared" si="7"/>
        <v>16253.28774</v>
      </c>
      <c r="K109">
        <f t="shared" si="11"/>
        <v>9784050.4577494171</v>
      </c>
      <c r="L109">
        <f t="shared" si="8"/>
        <v>253.125</v>
      </c>
      <c r="M109">
        <f t="shared" si="9"/>
        <v>0</v>
      </c>
      <c r="N109">
        <f t="shared" si="10"/>
        <v>253.125</v>
      </c>
    </row>
    <row r="110" spans="2:14">
      <c r="B110" s="17" t="s">
        <v>90</v>
      </c>
      <c r="C110">
        <v>2</v>
      </c>
      <c r="D110">
        <v>8.1</v>
      </c>
      <c r="E110">
        <v>0.9</v>
      </c>
      <c r="F110">
        <v>0</v>
      </c>
      <c r="G110">
        <f t="shared" si="6"/>
        <v>14.58</v>
      </c>
      <c r="H110">
        <f>5944.7362/10</f>
        <v>594.47361999999998</v>
      </c>
      <c r="I110">
        <f>H110+(E110/2)</f>
        <v>594.92362000000003</v>
      </c>
      <c r="J110">
        <f t="shared" si="7"/>
        <v>8673.9863796000009</v>
      </c>
      <c r="K110">
        <f t="shared" si="11"/>
        <v>5160359.376782327</v>
      </c>
      <c r="L110">
        <f t="shared" si="8"/>
        <v>0.49207500000000004</v>
      </c>
      <c r="M110">
        <f t="shared" si="9"/>
        <v>0</v>
      </c>
      <c r="N110">
        <f t="shared" si="10"/>
        <v>0.49207500000000004</v>
      </c>
    </row>
    <row r="111" spans="2:14">
      <c r="B111" t="s">
        <v>81</v>
      </c>
      <c r="G111" t="str">
        <f t="shared" si="6"/>
        <v/>
      </c>
      <c r="J111" t="str">
        <f t="shared" si="7"/>
        <v/>
      </c>
      <c r="K111" t="str">
        <f t="shared" si="11"/>
        <v/>
      </c>
      <c r="L111" t="str">
        <f t="shared" si="8"/>
        <v/>
      </c>
      <c r="M111" t="str">
        <f t="shared" si="9"/>
        <v/>
      </c>
      <c r="N111" t="str">
        <f t="shared" si="10"/>
        <v/>
      </c>
    </row>
    <row r="112" spans="2:14">
      <c r="B112" s="17" t="s">
        <v>89</v>
      </c>
      <c r="C112">
        <v>2</v>
      </c>
      <c r="D112">
        <v>0.9</v>
      </c>
      <c r="E112">
        <v>15</v>
      </c>
      <c r="F112">
        <v>0</v>
      </c>
      <c r="G112">
        <f t="shared" si="6"/>
        <v>27</v>
      </c>
      <c r="H112">
        <f>5944.7362/10</f>
        <v>594.47361999999998</v>
      </c>
      <c r="I112">
        <f>H112+(E112/2)</f>
        <v>601.97361999999998</v>
      </c>
      <c r="J112">
        <f t="shared" si="7"/>
        <v>16253.28774</v>
      </c>
      <c r="K112">
        <f t="shared" si="11"/>
        <v>9784050.4577494171</v>
      </c>
      <c r="L112">
        <f t="shared" si="8"/>
        <v>253.125</v>
      </c>
      <c r="M112">
        <f t="shared" si="9"/>
        <v>0</v>
      </c>
      <c r="N112">
        <f t="shared" si="10"/>
        <v>253.125</v>
      </c>
    </row>
    <row r="113" spans="1:14">
      <c r="B113" s="17" t="s">
        <v>90</v>
      </c>
      <c r="C113">
        <v>2</v>
      </c>
      <c r="D113">
        <v>8.1</v>
      </c>
      <c r="E113">
        <v>0.9</v>
      </c>
      <c r="F113">
        <v>0</v>
      </c>
      <c r="G113">
        <f t="shared" si="6"/>
        <v>14.58</v>
      </c>
      <c r="H113">
        <f>5944.7362/10</f>
        <v>594.47361999999998</v>
      </c>
      <c r="I113">
        <f>H113+(E113/2)</f>
        <v>594.92362000000003</v>
      </c>
      <c r="J113">
        <f t="shared" si="7"/>
        <v>8673.9863796000009</v>
      </c>
      <c r="K113">
        <f t="shared" si="11"/>
        <v>5160359.376782327</v>
      </c>
      <c r="L113">
        <f t="shared" si="8"/>
        <v>0.49207500000000004</v>
      </c>
      <c r="M113">
        <f t="shared" si="9"/>
        <v>0</v>
      </c>
      <c r="N113">
        <f t="shared" si="10"/>
        <v>0.49207500000000004</v>
      </c>
    </row>
    <row r="114" spans="1:14">
      <c r="B114" t="s">
        <v>82</v>
      </c>
      <c r="G114" t="str">
        <f t="shared" si="6"/>
        <v/>
      </c>
      <c r="J114" t="str">
        <f t="shared" si="7"/>
        <v/>
      </c>
      <c r="K114" t="str">
        <f t="shared" si="11"/>
        <v/>
      </c>
      <c r="L114" t="str">
        <f t="shared" si="8"/>
        <v/>
      </c>
      <c r="M114" t="str">
        <f t="shared" si="9"/>
        <v/>
      </c>
      <c r="N114" t="str">
        <f t="shared" si="10"/>
        <v/>
      </c>
    </row>
    <row r="115" spans="1:14">
      <c r="B115" s="17" t="s">
        <v>89</v>
      </c>
      <c r="C115">
        <v>2</v>
      </c>
      <c r="D115">
        <v>0.9</v>
      </c>
      <c r="E115">
        <v>15</v>
      </c>
      <c r="F115">
        <v>0</v>
      </c>
      <c r="G115">
        <f t="shared" si="6"/>
        <v>27</v>
      </c>
      <c r="H115">
        <f>5944.7362/10</f>
        <v>594.47361999999998</v>
      </c>
      <c r="I115">
        <f>H115+(E115/2)</f>
        <v>601.97361999999998</v>
      </c>
      <c r="J115">
        <f t="shared" si="7"/>
        <v>16253.28774</v>
      </c>
      <c r="K115">
        <f t="shared" si="11"/>
        <v>9784050.4577494171</v>
      </c>
      <c r="L115">
        <f t="shared" si="8"/>
        <v>253.125</v>
      </c>
      <c r="M115">
        <f t="shared" si="9"/>
        <v>0</v>
      </c>
      <c r="N115">
        <f t="shared" si="10"/>
        <v>253.125</v>
      </c>
    </row>
    <row r="116" spans="1:14">
      <c r="B116" s="17" t="s">
        <v>90</v>
      </c>
      <c r="C116">
        <v>2</v>
      </c>
      <c r="D116">
        <v>8.1</v>
      </c>
      <c r="E116">
        <v>0.9</v>
      </c>
      <c r="F116">
        <v>0</v>
      </c>
      <c r="G116">
        <f t="shared" si="6"/>
        <v>14.58</v>
      </c>
      <c r="H116">
        <f>5944.7362/10</f>
        <v>594.47361999999998</v>
      </c>
      <c r="I116">
        <f>H116+(E116/2)</f>
        <v>594.92362000000003</v>
      </c>
      <c r="J116">
        <f t="shared" si="7"/>
        <v>8673.9863796000009</v>
      </c>
      <c r="K116">
        <f t="shared" si="11"/>
        <v>5160359.376782327</v>
      </c>
      <c r="L116">
        <f t="shared" si="8"/>
        <v>0.49207500000000004</v>
      </c>
      <c r="M116">
        <f t="shared" si="9"/>
        <v>0</v>
      </c>
      <c r="N116">
        <f t="shared" si="10"/>
        <v>0.49207500000000004</v>
      </c>
    </row>
    <row r="117" spans="1:14">
      <c r="B117" t="s">
        <v>83</v>
      </c>
      <c r="G117" t="str">
        <f t="shared" si="6"/>
        <v/>
      </c>
      <c r="J117" t="str">
        <f t="shared" si="7"/>
        <v/>
      </c>
      <c r="K117" t="str">
        <f t="shared" si="11"/>
        <v/>
      </c>
      <c r="L117" t="str">
        <f t="shared" si="8"/>
        <v/>
      </c>
      <c r="M117" t="str">
        <f t="shared" si="9"/>
        <v/>
      </c>
      <c r="N117" t="str">
        <f t="shared" si="10"/>
        <v/>
      </c>
    </row>
    <row r="118" spans="1:14">
      <c r="B118" s="17" t="s">
        <v>89</v>
      </c>
      <c r="C118">
        <v>2</v>
      </c>
      <c r="D118">
        <v>0.9</v>
      </c>
      <c r="E118">
        <v>15</v>
      </c>
      <c r="F118">
        <v>0</v>
      </c>
      <c r="G118">
        <f t="shared" si="6"/>
        <v>27</v>
      </c>
      <c r="H118">
        <f>5944.7362/10</f>
        <v>594.47361999999998</v>
      </c>
      <c r="I118">
        <f>H118+(E118/2)</f>
        <v>601.97361999999998</v>
      </c>
      <c r="J118">
        <f t="shared" si="7"/>
        <v>16253.28774</v>
      </c>
      <c r="K118">
        <f t="shared" si="11"/>
        <v>9784050.4577494171</v>
      </c>
      <c r="L118">
        <f t="shared" si="8"/>
        <v>253.125</v>
      </c>
      <c r="M118">
        <f t="shared" si="9"/>
        <v>0</v>
      </c>
      <c r="N118">
        <f t="shared" si="10"/>
        <v>253.125</v>
      </c>
    </row>
    <row r="119" spans="1:14">
      <c r="B119" s="17" t="s">
        <v>90</v>
      </c>
      <c r="C119">
        <v>2</v>
      </c>
      <c r="D119">
        <v>8.1</v>
      </c>
      <c r="E119">
        <v>0.9</v>
      </c>
      <c r="F119">
        <v>0</v>
      </c>
      <c r="G119">
        <f t="shared" si="6"/>
        <v>14.58</v>
      </c>
      <c r="H119">
        <f>5944.7362/10</f>
        <v>594.47361999999998</v>
      </c>
      <c r="I119">
        <f>H119+(E119/2)</f>
        <v>594.92362000000003</v>
      </c>
      <c r="J119">
        <f t="shared" si="7"/>
        <v>8673.9863796000009</v>
      </c>
      <c r="K119">
        <f t="shared" si="11"/>
        <v>5160359.376782327</v>
      </c>
      <c r="L119">
        <f t="shared" si="8"/>
        <v>0.49207500000000004</v>
      </c>
      <c r="M119">
        <f t="shared" si="9"/>
        <v>0</v>
      </c>
      <c r="N119">
        <f t="shared" si="10"/>
        <v>0.49207500000000004</v>
      </c>
    </row>
    <row r="120" spans="1:14">
      <c r="B120" t="s">
        <v>84</v>
      </c>
      <c r="G120" t="str">
        <f t="shared" si="6"/>
        <v/>
      </c>
      <c r="J120" t="str">
        <f t="shared" si="7"/>
        <v/>
      </c>
      <c r="K120" t="str">
        <f t="shared" si="11"/>
        <v/>
      </c>
      <c r="L120" t="str">
        <f t="shared" si="8"/>
        <v/>
      </c>
      <c r="M120" t="str">
        <f t="shared" si="9"/>
        <v/>
      </c>
      <c r="N120" t="str">
        <f t="shared" si="10"/>
        <v/>
      </c>
    </row>
    <row r="121" spans="1:14">
      <c r="B121" s="17" t="s">
        <v>89</v>
      </c>
      <c r="C121">
        <v>2</v>
      </c>
      <c r="D121">
        <v>0.9</v>
      </c>
      <c r="E121">
        <v>15</v>
      </c>
      <c r="F121">
        <v>0</v>
      </c>
      <c r="G121">
        <f t="shared" si="6"/>
        <v>27</v>
      </c>
      <c r="H121">
        <f>5944.7362/10</f>
        <v>594.47361999999998</v>
      </c>
      <c r="I121">
        <f>H121+(E121/2)</f>
        <v>601.97361999999998</v>
      </c>
      <c r="J121">
        <f t="shared" si="7"/>
        <v>16253.28774</v>
      </c>
      <c r="K121">
        <f t="shared" si="11"/>
        <v>9784050.4577494171</v>
      </c>
      <c r="L121">
        <f t="shared" si="8"/>
        <v>253.125</v>
      </c>
      <c r="M121">
        <f t="shared" si="9"/>
        <v>0</v>
      </c>
      <c r="N121">
        <f t="shared" si="10"/>
        <v>253.125</v>
      </c>
    </row>
    <row r="122" spans="1:14">
      <c r="B122" s="17" t="s">
        <v>90</v>
      </c>
      <c r="C122">
        <v>2</v>
      </c>
      <c r="D122">
        <v>8.1</v>
      </c>
      <c r="E122">
        <v>0.9</v>
      </c>
      <c r="F122">
        <v>0</v>
      </c>
      <c r="G122">
        <f t="shared" si="6"/>
        <v>14.58</v>
      </c>
      <c r="H122">
        <f>5944.7362/10</f>
        <v>594.47361999999998</v>
      </c>
      <c r="I122">
        <f>H122+(E122/2)</f>
        <v>594.92362000000003</v>
      </c>
      <c r="J122">
        <f t="shared" si="7"/>
        <v>8673.9863796000009</v>
      </c>
      <c r="K122">
        <f t="shared" si="11"/>
        <v>5160359.376782327</v>
      </c>
      <c r="L122">
        <f t="shared" si="8"/>
        <v>0.49207500000000004</v>
      </c>
      <c r="M122">
        <f t="shared" si="9"/>
        <v>0</v>
      </c>
      <c r="N122">
        <f t="shared" si="10"/>
        <v>0.49207500000000004</v>
      </c>
    </row>
    <row r="123" spans="1:14">
      <c r="B123" t="s">
        <v>85</v>
      </c>
      <c r="G123" t="str">
        <f t="shared" si="6"/>
        <v/>
      </c>
      <c r="J123" t="str">
        <f t="shared" si="7"/>
        <v/>
      </c>
      <c r="K123" t="str">
        <f t="shared" si="11"/>
        <v/>
      </c>
      <c r="L123" t="str">
        <f t="shared" si="8"/>
        <v/>
      </c>
      <c r="M123" t="str">
        <f t="shared" si="9"/>
        <v/>
      </c>
      <c r="N123" t="str">
        <f t="shared" si="10"/>
        <v/>
      </c>
    </row>
    <row r="124" spans="1:14">
      <c r="B124" s="17" t="s">
        <v>89</v>
      </c>
      <c r="C124">
        <v>2</v>
      </c>
      <c r="D124">
        <v>0.9</v>
      </c>
      <c r="E124">
        <v>15</v>
      </c>
      <c r="F124">
        <v>0</v>
      </c>
      <c r="G124">
        <f t="shared" si="6"/>
        <v>27</v>
      </c>
      <c r="H124">
        <f>5944.7362/10</f>
        <v>594.47361999999998</v>
      </c>
      <c r="I124">
        <f>H124+(E124/2)</f>
        <v>601.97361999999998</v>
      </c>
      <c r="J124">
        <f t="shared" si="7"/>
        <v>16253.28774</v>
      </c>
      <c r="K124">
        <f t="shared" si="11"/>
        <v>9784050.4577494171</v>
      </c>
      <c r="L124">
        <f t="shared" si="8"/>
        <v>253.125</v>
      </c>
      <c r="M124">
        <f t="shared" si="9"/>
        <v>0</v>
      </c>
      <c r="N124">
        <f t="shared" si="10"/>
        <v>253.125</v>
      </c>
    </row>
    <row r="125" spans="1:14">
      <c r="B125" s="17" t="s">
        <v>90</v>
      </c>
      <c r="C125">
        <v>2</v>
      </c>
      <c r="D125">
        <v>8.1</v>
      </c>
      <c r="E125">
        <v>0.9</v>
      </c>
      <c r="F125">
        <v>0</v>
      </c>
      <c r="G125">
        <f t="shared" si="6"/>
        <v>14.58</v>
      </c>
      <c r="H125">
        <f>5944.7362/10</f>
        <v>594.47361999999998</v>
      </c>
      <c r="I125">
        <f>H125+(E125/2)</f>
        <v>594.92362000000003</v>
      </c>
      <c r="J125">
        <f t="shared" si="7"/>
        <v>8673.9863796000009</v>
      </c>
      <c r="K125">
        <f t="shared" si="11"/>
        <v>5160359.376782327</v>
      </c>
      <c r="L125">
        <f t="shared" si="8"/>
        <v>0.49207500000000004</v>
      </c>
      <c r="M125">
        <f t="shared" si="9"/>
        <v>0</v>
      </c>
      <c r="N125">
        <f t="shared" si="10"/>
        <v>0.49207500000000004</v>
      </c>
    </row>
    <row r="126" spans="1:14" s="19" customFormat="1">
      <c r="A126" s="19">
        <v>61</v>
      </c>
      <c r="G126" t="str">
        <f t="shared" si="6"/>
        <v/>
      </c>
      <c r="J126" t="str">
        <f t="shared" si="7"/>
        <v/>
      </c>
      <c r="K126" t="str">
        <f t="shared" si="11"/>
        <v/>
      </c>
      <c r="L126" t="str">
        <f t="shared" si="8"/>
        <v/>
      </c>
      <c r="M126" t="str">
        <f t="shared" si="9"/>
        <v/>
      </c>
      <c r="N126" t="str">
        <f t="shared" si="10"/>
        <v/>
      </c>
    </row>
    <row r="127" spans="1:14">
      <c r="A127">
        <v>0.9</v>
      </c>
      <c r="B127" t="s">
        <v>94</v>
      </c>
      <c r="G127" t="str">
        <f t="shared" si="6"/>
        <v/>
      </c>
      <c r="J127" t="str">
        <f t="shared" si="7"/>
        <v/>
      </c>
      <c r="K127" t="str">
        <f t="shared" si="11"/>
        <v/>
      </c>
      <c r="L127" t="str">
        <f t="shared" si="8"/>
        <v/>
      </c>
      <c r="M127" t="str">
        <f t="shared" si="9"/>
        <v/>
      </c>
      <c r="N127" t="str">
        <f t="shared" si="10"/>
        <v/>
      </c>
    </row>
    <row r="128" spans="1:14">
      <c r="B128" s="17" t="s">
        <v>89</v>
      </c>
      <c r="C128">
        <v>2</v>
      </c>
      <c r="D128">
        <v>15</v>
      </c>
      <c r="E128">
        <v>0.9</v>
      </c>
      <c r="F128">
        <v>0</v>
      </c>
      <c r="G128">
        <f t="shared" si="6"/>
        <v>27</v>
      </c>
      <c r="H128">
        <f>134-E128</f>
        <v>133.1</v>
      </c>
      <c r="I128">
        <f>H128+(E128/2)</f>
        <v>133.54999999999998</v>
      </c>
      <c r="J128">
        <f t="shared" si="7"/>
        <v>3605.8499999999995</v>
      </c>
      <c r="K128">
        <f t="shared" si="11"/>
        <v>481561.2674999999</v>
      </c>
      <c r="L128">
        <f t="shared" si="8"/>
        <v>0.91125000000000012</v>
      </c>
      <c r="M128">
        <f t="shared" si="9"/>
        <v>0</v>
      </c>
      <c r="N128">
        <f t="shared" si="10"/>
        <v>0.91125000000000012</v>
      </c>
    </row>
    <row r="129" spans="2:14">
      <c r="B129" s="17" t="s">
        <v>90</v>
      </c>
      <c r="C129">
        <v>2</v>
      </c>
      <c r="D129">
        <v>0.9</v>
      </c>
      <c r="E129">
        <v>8.1</v>
      </c>
      <c r="F129">
        <v>0</v>
      </c>
      <c r="G129">
        <f t="shared" si="6"/>
        <v>14.58</v>
      </c>
      <c r="H129">
        <f>H128-E129</f>
        <v>125</v>
      </c>
      <c r="I129">
        <f>H129+(E129/2)</f>
        <v>129.05000000000001</v>
      </c>
      <c r="J129">
        <f t="shared" si="7"/>
        <v>1881.5490000000002</v>
      </c>
      <c r="K129">
        <f t="shared" si="11"/>
        <v>242813.89845000007</v>
      </c>
      <c r="L129">
        <f t="shared" si="8"/>
        <v>39.858074999999992</v>
      </c>
      <c r="M129">
        <f t="shared" si="9"/>
        <v>0</v>
      </c>
      <c r="N129">
        <f t="shared" si="10"/>
        <v>39.858074999999992</v>
      </c>
    </row>
    <row r="130" spans="2:14">
      <c r="B130" t="s">
        <v>95</v>
      </c>
      <c r="G130" t="str">
        <f t="shared" si="6"/>
        <v/>
      </c>
      <c r="J130" t="str">
        <f t="shared" si="7"/>
        <v/>
      </c>
      <c r="K130" t="str">
        <f t="shared" si="11"/>
        <v/>
      </c>
      <c r="L130" t="str">
        <f t="shared" si="8"/>
        <v/>
      </c>
      <c r="M130" t="str">
        <f t="shared" si="9"/>
        <v/>
      </c>
      <c r="N130" t="str">
        <f t="shared" si="10"/>
        <v/>
      </c>
    </row>
    <row r="131" spans="2:14">
      <c r="B131" s="17" t="s">
        <v>89</v>
      </c>
      <c r="C131">
        <v>2</v>
      </c>
      <c r="D131">
        <v>15</v>
      </c>
      <c r="E131">
        <v>0.9</v>
      </c>
      <c r="F131">
        <v>0</v>
      </c>
      <c r="G131">
        <f t="shared" si="6"/>
        <v>27</v>
      </c>
      <c r="H131">
        <f>H128+49</f>
        <v>182.1</v>
      </c>
      <c r="I131">
        <f>H131+(E131/2)</f>
        <v>182.54999999999998</v>
      </c>
      <c r="J131">
        <f t="shared" si="7"/>
        <v>4928.8499999999995</v>
      </c>
      <c r="K131">
        <f t="shared" si="11"/>
        <v>899761.56749999989</v>
      </c>
      <c r="L131">
        <f t="shared" si="8"/>
        <v>0.91125000000000012</v>
      </c>
      <c r="M131">
        <f t="shared" si="9"/>
        <v>0</v>
      </c>
      <c r="N131">
        <f t="shared" si="10"/>
        <v>0.91125000000000012</v>
      </c>
    </row>
    <row r="132" spans="2:14">
      <c r="B132" s="17" t="s">
        <v>90</v>
      </c>
      <c r="C132">
        <v>2</v>
      </c>
      <c r="D132">
        <v>0.9</v>
      </c>
      <c r="E132">
        <v>8.1</v>
      </c>
      <c r="F132">
        <v>0</v>
      </c>
      <c r="G132">
        <f t="shared" si="6"/>
        <v>14.58</v>
      </c>
      <c r="H132">
        <f>H129+49</f>
        <v>174</v>
      </c>
      <c r="I132">
        <f>H132+(E132/2)</f>
        <v>178.05</v>
      </c>
      <c r="J132">
        <f t="shared" si="7"/>
        <v>2595.9690000000001</v>
      </c>
      <c r="K132">
        <f t="shared" si="11"/>
        <v>462212.28045000008</v>
      </c>
      <c r="L132">
        <f t="shared" si="8"/>
        <v>39.858074999999992</v>
      </c>
      <c r="M132">
        <f t="shared" si="9"/>
        <v>0</v>
      </c>
      <c r="N132">
        <f t="shared" si="10"/>
        <v>39.858074999999992</v>
      </c>
    </row>
    <row r="133" spans="2:14">
      <c r="B133" t="s">
        <v>96</v>
      </c>
      <c r="G133" t="str">
        <f t="shared" si="6"/>
        <v/>
      </c>
      <c r="J133" t="str">
        <f t="shared" si="7"/>
        <v/>
      </c>
      <c r="K133" t="str">
        <f t="shared" si="11"/>
        <v/>
      </c>
      <c r="L133" t="str">
        <f t="shared" si="8"/>
        <v/>
      </c>
      <c r="M133" t="str">
        <f t="shared" si="9"/>
        <v/>
      </c>
      <c r="N133" t="str">
        <f t="shared" si="10"/>
        <v/>
      </c>
    </row>
    <row r="134" spans="2:14">
      <c r="B134" s="17" t="s">
        <v>89</v>
      </c>
      <c r="C134">
        <v>2</v>
      </c>
      <c r="D134">
        <v>15</v>
      </c>
      <c r="E134">
        <v>0.9</v>
      </c>
      <c r="F134">
        <v>0</v>
      </c>
      <c r="G134">
        <f t="shared" si="6"/>
        <v>27</v>
      </c>
      <c r="H134">
        <f>H131+$A$126</f>
        <v>243.1</v>
      </c>
      <c r="I134">
        <f>H134+(E134/2)</f>
        <v>243.54999999999998</v>
      </c>
      <c r="J134">
        <f t="shared" si="7"/>
        <v>6575.8499999999995</v>
      </c>
      <c r="K134">
        <f t="shared" si="11"/>
        <v>1601548.2674999998</v>
      </c>
      <c r="L134">
        <f t="shared" si="8"/>
        <v>0.91125000000000012</v>
      </c>
      <c r="M134">
        <f t="shared" si="9"/>
        <v>0</v>
      </c>
      <c r="N134">
        <f t="shared" si="10"/>
        <v>0.91125000000000012</v>
      </c>
    </row>
    <row r="135" spans="2:14">
      <c r="B135" s="17" t="s">
        <v>90</v>
      </c>
      <c r="C135">
        <v>2</v>
      </c>
      <c r="D135">
        <v>0.9</v>
      </c>
      <c r="E135">
        <v>8.1</v>
      </c>
      <c r="F135">
        <v>0</v>
      </c>
      <c r="G135">
        <f t="shared" si="6"/>
        <v>14.58</v>
      </c>
      <c r="H135">
        <f>H132+$A$126</f>
        <v>235</v>
      </c>
      <c r="I135">
        <f>H135+(E135/2)</f>
        <v>239.05</v>
      </c>
      <c r="J135">
        <f t="shared" si="7"/>
        <v>3485.3490000000002</v>
      </c>
      <c r="K135">
        <f t="shared" si="11"/>
        <v>833172.67845000001</v>
      </c>
      <c r="L135">
        <f t="shared" si="8"/>
        <v>39.858074999999992</v>
      </c>
      <c r="M135">
        <f t="shared" si="9"/>
        <v>0</v>
      </c>
      <c r="N135">
        <f t="shared" si="10"/>
        <v>39.858074999999992</v>
      </c>
    </row>
    <row r="136" spans="2:14">
      <c r="B136" t="s">
        <v>97</v>
      </c>
      <c r="G136" t="str">
        <f t="shared" si="6"/>
        <v/>
      </c>
      <c r="J136" t="str">
        <f t="shared" si="7"/>
        <v/>
      </c>
      <c r="K136" t="str">
        <f t="shared" si="11"/>
        <v/>
      </c>
      <c r="L136" t="str">
        <f t="shared" si="8"/>
        <v/>
      </c>
      <c r="M136" t="str">
        <f t="shared" si="9"/>
        <v/>
      </c>
      <c r="N136" t="str">
        <f t="shared" si="10"/>
        <v/>
      </c>
    </row>
    <row r="137" spans="2:14">
      <c r="B137" s="17" t="s">
        <v>89</v>
      </c>
      <c r="C137">
        <v>2</v>
      </c>
      <c r="D137">
        <v>15</v>
      </c>
      <c r="E137">
        <v>0.9</v>
      </c>
      <c r="F137">
        <v>0</v>
      </c>
      <c r="G137">
        <f t="shared" si="6"/>
        <v>27</v>
      </c>
      <c r="H137">
        <f>H134+$A$126</f>
        <v>304.10000000000002</v>
      </c>
      <c r="I137">
        <f>H137+(E137/2)</f>
        <v>304.55</v>
      </c>
      <c r="J137">
        <f t="shared" si="7"/>
        <v>8222.85</v>
      </c>
      <c r="K137">
        <f t="shared" si="11"/>
        <v>2504268.9675000003</v>
      </c>
      <c r="L137">
        <f t="shared" si="8"/>
        <v>0.91125000000000012</v>
      </c>
      <c r="M137">
        <f t="shared" si="9"/>
        <v>0</v>
      </c>
      <c r="N137">
        <f t="shared" si="10"/>
        <v>0.91125000000000012</v>
      </c>
    </row>
    <row r="138" spans="2:14">
      <c r="B138" s="17" t="s">
        <v>90</v>
      </c>
      <c r="C138">
        <v>2</v>
      </c>
      <c r="D138">
        <v>0.9</v>
      </c>
      <c r="E138">
        <v>8.1</v>
      </c>
      <c r="F138">
        <v>0</v>
      </c>
      <c r="G138">
        <f t="shared" si="6"/>
        <v>14.58</v>
      </c>
      <c r="H138">
        <f>H135+$A$126</f>
        <v>296</v>
      </c>
      <c r="I138">
        <f>H138+(E138/2)</f>
        <v>300.05</v>
      </c>
      <c r="J138">
        <f t="shared" si="7"/>
        <v>4374.7290000000003</v>
      </c>
      <c r="K138">
        <f t="shared" si="11"/>
        <v>1312637.4364500002</v>
      </c>
      <c r="L138">
        <f t="shared" si="8"/>
        <v>39.858074999999992</v>
      </c>
      <c r="M138">
        <f t="shared" si="9"/>
        <v>0</v>
      </c>
      <c r="N138">
        <f t="shared" si="10"/>
        <v>39.858074999999992</v>
      </c>
    </row>
    <row r="139" spans="2:14">
      <c r="B139" t="s">
        <v>98</v>
      </c>
      <c r="G139" t="str">
        <f t="shared" ref="G139:G202" si="12">IF(C139="","",C139*D139*E139)</f>
        <v/>
      </c>
      <c r="J139" t="str">
        <f t="shared" ref="J139:J202" si="13">IF(C139="","",G139*I139)</f>
        <v/>
      </c>
      <c r="K139" t="str">
        <f t="shared" si="11"/>
        <v/>
      </c>
      <c r="L139" t="str">
        <f t="shared" ref="L139:L202" si="14">IF(C139="","",1/12*D139*E139^3*(COS(DEGREES(F139)))^2)</f>
        <v/>
      </c>
      <c r="M139" t="str">
        <f t="shared" ref="M139:M202" si="15">IF(C139="","",1/12*D139*E139^3*(SIN(DEGREES(F139)))^2)</f>
        <v/>
      </c>
      <c r="N139" t="str">
        <f t="shared" ref="N139:N202" si="16">IF(C139="","",L139+M139)</f>
        <v/>
      </c>
    </row>
    <row r="140" spans="2:14">
      <c r="B140" s="17" t="s">
        <v>89</v>
      </c>
      <c r="C140">
        <v>2</v>
      </c>
      <c r="D140">
        <v>15</v>
      </c>
      <c r="E140">
        <v>0.9</v>
      </c>
      <c r="F140">
        <v>0</v>
      </c>
      <c r="G140">
        <f t="shared" si="12"/>
        <v>27</v>
      </c>
      <c r="H140">
        <f>H137+$A$126</f>
        <v>365.1</v>
      </c>
      <c r="I140">
        <f>H140+(E140/2)</f>
        <v>365.55</v>
      </c>
      <c r="J140">
        <f t="shared" si="13"/>
        <v>9869.85</v>
      </c>
      <c r="K140">
        <f t="shared" ref="K140:K203" si="17">IF(C140="","",G140*I140^2)</f>
        <v>3607923.6675000004</v>
      </c>
      <c r="L140">
        <f t="shared" si="14"/>
        <v>0.91125000000000012</v>
      </c>
      <c r="M140">
        <f t="shared" si="15"/>
        <v>0</v>
      </c>
      <c r="N140">
        <f t="shared" si="16"/>
        <v>0.91125000000000012</v>
      </c>
    </row>
    <row r="141" spans="2:14">
      <c r="B141" s="17" t="s">
        <v>90</v>
      </c>
      <c r="C141">
        <v>2</v>
      </c>
      <c r="D141">
        <v>0.9</v>
      </c>
      <c r="E141">
        <v>8.1</v>
      </c>
      <c r="F141">
        <v>0</v>
      </c>
      <c r="G141">
        <f t="shared" si="12"/>
        <v>14.58</v>
      </c>
      <c r="H141">
        <f>H138+$A$126</f>
        <v>357</v>
      </c>
      <c r="I141">
        <f>H141+(E141/2)</f>
        <v>361.05</v>
      </c>
      <c r="J141">
        <f t="shared" si="13"/>
        <v>5264.1090000000004</v>
      </c>
      <c r="K141">
        <f t="shared" si="17"/>
        <v>1900606.5544500002</v>
      </c>
      <c r="L141">
        <f t="shared" si="14"/>
        <v>39.858074999999992</v>
      </c>
      <c r="M141">
        <f t="shared" si="15"/>
        <v>0</v>
      </c>
      <c r="N141">
        <f t="shared" si="16"/>
        <v>39.858074999999992</v>
      </c>
    </row>
    <row r="142" spans="2:14">
      <c r="B142" t="s">
        <v>99</v>
      </c>
      <c r="G142" t="str">
        <f t="shared" si="12"/>
        <v/>
      </c>
      <c r="J142" t="str">
        <f t="shared" si="13"/>
        <v/>
      </c>
      <c r="K142" t="str">
        <f t="shared" si="17"/>
        <v/>
      </c>
      <c r="L142" t="str">
        <f t="shared" si="14"/>
        <v/>
      </c>
      <c r="M142" t="str">
        <f t="shared" si="15"/>
        <v/>
      </c>
      <c r="N142" t="str">
        <f t="shared" si="16"/>
        <v/>
      </c>
    </row>
    <row r="143" spans="2:14">
      <c r="B143" s="17" t="s">
        <v>89</v>
      </c>
      <c r="C143">
        <v>2</v>
      </c>
      <c r="D143">
        <v>15</v>
      </c>
      <c r="E143">
        <v>0.9</v>
      </c>
      <c r="F143">
        <v>0</v>
      </c>
      <c r="G143">
        <f t="shared" si="12"/>
        <v>27</v>
      </c>
      <c r="H143">
        <f>H140+$A$126</f>
        <v>426.1</v>
      </c>
      <c r="I143">
        <f>H143+(E143/2)</f>
        <v>426.55</v>
      </c>
      <c r="J143">
        <f t="shared" si="13"/>
        <v>11516.85</v>
      </c>
      <c r="K143">
        <f t="shared" si="17"/>
        <v>4912512.3674999997</v>
      </c>
      <c r="L143">
        <f t="shared" si="14"/>
        <v>0.91125000000000012</v>
      </c>
      <c r="M143">
        <f t="shared" si="15"/>
        <v>0</v>
      </c>
      <c r="N143">
        <f t="shared" si="16"/>
        <v>0.91125000000000012</v>
      </c>
    </row>
    <row r="144" spans="2:14">
      <c r="B144" s="17" t="s">
        <v>90</v>
      </c>
      <c r="C144">
        <v>2</v>
      </c>
      <c r="D144">
        <v>0.9</v>
      </c>
      <c r="E144">
        <v>8.1</v>
      </c>
      <c r="F144">
        <v>0</v>
      </c>
      <c r="G144">
        <f t="shared" si="12"/>
        <v>14.58</v>
      </c>
      <c r="H144">
        <f>H141+$A$126</f>
        <v>418</v>
      </c>
      <c r="I144">
        <f>H144+(E144/2)</f>
        <v>422.05</v>
      </c>
      <c r="J144">
        <f t="shared" si="13"/>
        <v>6153.4890000000005</v>
      </c>
      <c r="K144">
        <f t="shared" si="17"/>
        <v>2597080.0324500003</v>
      </c>
      <c r="L144">
        <f t="shared" si="14"/>
        <v>39.858074999999992</v>
      </c>
      <c r="M144">
        <f t="shared" si="15"/>
        <v>0</v>
      </c>
      <c r="N144">
        <f t="shared" si="16"/>
        <v>39.858074999999992</v>
      </c>
    </row>
    <row r="145" spans="2:14">
      <c r="B145" t="s">
        <v>100</v>
      </c>
      <c r="G145" t="str">
        <f t="shared" si="12"/>
        <v/>
      </c>
      <c r="J145" t="str">
        <f t="shared" si="13"/>
        <v/>
      </c>
      <c r="K145" t="str">
        <f t="shared" si="17"/>
        <v/>
      </c>
      <c r="L145" t="str">
        <f t="shared" si="14"/>
        <v/>
      </c>
      <c r="M145" t="str">
        <f t="shared" si="15"/>
        <v/>
      </c>
      <c r="N145" t="str">
        <f t="shared" si="16"/>
        <v/>
      </c>
    </row>
    <row r="146" spans="2:14">
      <c r="B146" s="17" t="s">
        <v>89</v>
      </c>
      <c r="C146">
        <v>2</v>
      </c>
      <c r="D146">
        <v>15</v>
      </c>
      <c r="E146">
        <v>0.9</v>
      </c>
      <c r="F146">
        <v>0</v>
      </c>
      <c r="G146">
        <f t="shared" si="12"/>
        <v>27</v>
      </c>
      <c r="H146">
        <f>H143+$A$126</f>
        <v>487.1</v>
      </c>
      <c r="I146">
        <f>H146+(E146/2)</f>
        <v>487.55</v>
      </c>
      <c r="J146">
        <f t="shared" si="13"/>
        <v>13163.85</v>
      </c>
      <c r="K146">
        <f t="shared" si="17"/>
        <v>6418035.0674999999</v>
      </c>
      <c r="L146">
        <f t="shared" si="14"/>
        <v>0.91125000000000012</v>
      </c>
      <c r="M146">
        <f t="shared" si="15"/>
        <v>0</v>
      </c>
      <c r="N146">
        <f t="shared" si="16"/>
        <v>0.91125000000000012</v>
      </c>
    </row>
    <row r="147" spans="2:14">
      <c r="B147" s="17" t="s">
        <v>90</v>
      </c>
      <c r="C147">
        <v>2</v>
      </c>
      <c r="D147">
        <v>0.9</v>
      </c>
      <c r="E147">
        <v>8.1</v>
      </c>
      <c r="F147">
        <v>0</v>
      </c>
      <c r="G147">
        <f t="shared" si="12"/>
        <v>14.58</v>
      </c>
      <c r="H147">
        <f>H144+$A$126</f>
        <v>479</v>
      </c>
      <c r="I147">
        <f>H147+(E147/2)</f>
        <v>483.05</v>
      </c>
      <c r="J147">
        <f t="shared" si="13"/>
        <v>7042.8690000000006</v>
      </c>
      <c r="K147">
        <f t="shared" si="17"/>
        <v>3402057.8704500003</v>
      </c>
      <c r="L147">
        <f t="shared" si="14"/>
        <v>39.858074999999992</v>
      </c>
      <c r="M147">
        <f t="shared" si="15"/>
        <v>0</v>
      </c>
      <c r="N147">
        <f t="shared" si="16"/>
        <v>39.858074999999992</v>
      </c>
    </row>
    <row r="148" spans="2:14">
      <c r="B148" t="s">
        <v>101</v>
      </c>
      <c r="G148" t="str">
        <f t="shared" si="12"/>
        <v/>
      </c>
      <c r="J148" t="str">
        <f t="shared" si="13"/>
        <v/>
      </c>
      <c r="K148" t="str">
        <f t="shared" si="17"/>
        <v/>
      </c>
      <c r="L148" t="str">
        <f t="shared" si="14"/>
        <v/>
      </c>
      <c r="M148" t="str">
        <f t="shared" si="15"/>
        <v/>
      </c>
      <c r="N148" t="str">
        <f t="shared" si="16"/>
        <v/>
      </c>
    </row>
    <row r="149" spans="2:14">
      <c r="B149" s="17" t="s">
        <v>89</v>
      </c>
      <c r="C149">
        <v>2</v>
      </c>
      <c r="D149">
        <v>15</v>
      </c>
      <c r="E149">
        <v>0.9</v>
      </c>
      <c r="F149">
        <v>0</v>
      </c>
      <c r="G149">
        <f t="shared" si="12"/>
        <v>27</v>
      </c>
      <c r="H149">
        <f>H146+$A$126</f>
        <v>548.1</v>
      </c>
      <c r="I149">
        <f>H149+(E149/2)</f>
        <v>548.55000000000007</v>
      </c>
      <c r="J149">
        <f t="shared" si="13"/>
        <v>14810.850000000002</v>
      </c>
      <c r="K149">
        <f t="shared" si="17"/>
        <v>8124491.7675000029</v>
      </c>
      <c r="L149">
        <f t="shared" si="14"/>
        <v>0.91125000000000012</v>
      </c>
      <c r="M149">
        <f t="shared" si="15"/>
        <v>0</v>
      </c>
      <c r="N149">
        <f t="shared" si="16"/>
        <v>0.91125000000000012</v>
      </c>
    </row>
    <row r="150" spans="2:14">
      <c r="B150" s="17" t="s">
        <v>90</v>
      </c>
      <c r="C150">
        <v>2</v>
      </c>
      <c r="D150">
        <v>0.9</v>
      </c>
      <c r="E150">
        <v>8.1</v>
      </c>
      <c r="F150">
        <v>0</v>
      </c>
      <c r="G150">
        <f t="shared" si="12"/>
        <v>14.58</v>
      </c>
      <c r="H150">
        <f>H147+$A$126</f>
        <v>540</v>
      </c>
      <c r="I150">
        <f>H150+(E150/2)</f>
        <v>544.04999999999995</v>
      </c>
      <c r="J150">
        <f t="shared" si="13"/>
        <v>7932.2489999999998</v>
      </c>
      <c r="K150">
        <f t="shared" si="17"/>
        <v>4315540.0684499992</v>
      </c>
      <c r="L150">
        <f t="shared" si="14"/>
        <v>39.858074999999992</v>
      </c>
      <c r="M150">
        <f t="shared" si="15"/>
        <v>0</v>
      </c>
      <c r="N150">
        <f t="shared" si="16"/>
        <v>39.858074999999992</v>
      </c>
    </row>
    <row r="151" spans="2:14">
      <c r="G151" t="str">
        <f t="shared" si="12"/>
        <v/>
      </c>
      <c r="J151" t="str">
        <f t="shared" si="13"/>
        <v/>
      </c>
      <c r="K151" t="str">
        <f t="shared" si="17"/>
        <v/>
      </c>
      <c r="L151" t="str">
        <f t="shared" si="14"/>
        <v/>
      </c>
      <c r="M151" t="str">
        <f t="shared" si="15"/>
        <v/>
      </c>
      <c r="N151" t="str">
        <f t="shared" si="16"/>
        <v/>
      </c>
    </row>
    <row r="152" spans="2:14">
      <c r="B152" t="s">
        <v>102</v>
      </c>
      <c r="G152" t="str">
        <f t="shared" si="12"/>
        <v/>
      </c>
      <c r="J152" t="str">
        <f t="shared" si="13"/>
        <v/>
      </c>
      <c r="K152" t="str">
        <f t="shared" si="17"/>
        <v/>
      </c>
      <c r="L152" t="str">
        <f t="shared" si="14"/>
        <v/>
      </c>
      <c r="M152" t="str">
        <f t="shared" si="15"/>
        <v/>
      </c>
      <c r="N152" t="str">
        <f t="shared" si="16"/>
        <v/>
      </c>
    </row>
    <row r="153" spans="2:14">
      <c r="B153" s="17" t="s">
        <v>89</v>
      </c>
      <c r="C153">
        <v>2</v>
      </c>
      <c r="D153">
        <v>15</v>
      </c>
      <c r="E153">
        <v>0.9</v>
      </c>
      <c r="F153">
        <v>0</v>
      </c>
      <c r="G153">
        <f t="shared" si="12"/>
        <v>27</v>
      </c>
      <c r="H153">
        <f>61-E153</f>
        <v>60.1</v>
      </c>
      <c r="I153">
        <f>H153+(E153/2)</f>
        <v>60.550000000000004</v>
      </c>
      <c r="J153">
        <f t="shared" si="13"/>
        <v>1634.8500000000001</v>
      </c>
      <c r="K153">
        <f t="shared" si="17"/>
        <v>98990.167500000025</v>
      </c>
      <c r="L153">
        <f t="shared" si="14"/>
        <v>0.91125000000000012</v>
      </c>
      <c r="M153">
        <f t="shared" si="15"/>
        <v>0</v>
      </c>
      <c r="N153">
        <f t="shared" si="16"/>
        <v>0.91125000000000012</v>
      </c>
    </row>
    <row r="154" spans="2:14">
      <c r="B154" s="17" t="s">
        <v>90</v>
      </c>
      <c r="C154">
        <v>2</v>
      </c>
      <c r="D154">
        <v>0.9</v>
      </c>
      <c r="E154">
        <v>8.1</v>
      </c>
      <c r="F154">
        <v>0</v>
      </c>
      <c r="G154">
        <f t="shared" si="12"/>
        <v>14.58</v>
      </c>
      <c r="H154">
        <f>H153-E154</f>
        <v>52</v>
      </c>
      <c r="I154">
        <f>H154+(E154/2)</f>
        <v>56.05</v>
      </c>
      <c r="J154">
        <f t="shared" si="13"/>
        <v>817.20899999999995</v>
      </c>
      <c r="K154">
        <f t="shared" si="17"/>
        <v>45804.564449999991</v>
      </c>
      <c r="L154">
        <f t="shared" si="14"/>
        <v>39.858074999999992</v>
      </c>
      <c r="M154">
        <f t="shared" si="15"/>
        <v>0</v>
      </c>
      <c r="N154">
        <f t="shared" si="16"/>
        <v>39.858074999999992</v>
      </c>
    </row>
    <row r="155" spans="2:14">
      <c r="B155" t="s">
        <v>103</v>
      </c>
      <c r="G155" t="str">
        <f t="shared" si="12"/>
        <v/>
      </c>
      <c r="J155" t="str">
        <f t="shared" si="13"/>
        <v/>
      </c>
      <c r="K155" t="str">
        <f t="shared" si="17"/>
        <v/>
      </c>
      <c r="L155" t="str">
        <f t="shared" si="14"/>
        <v/>
      </c>
      <c r="M155" t="str">
        <f t="shared" si="15"/>
        <v/>
      </c>
      <c r="N155" t="str">
        <f t="shared" si="16"/>
        <v/>
      </c>
    </row>
    <row r="156" spans="2:14">
      <c r="B156" s="17" t="s">
        <v>89</v>
      </c>
      <c r="C156">
        <v>2</v>
      </c>
      <c r="D156">
        <v>15</v>
      </c>
      <c r="E156">
        <v>0.9</v>
      </c>
      <c r="F156">
        <v>0</v>
      </c>
      <c r="G156">
        <f t="shared" si="12"/>
        <v>27</v>
      </c>
      <c r="H156">
        <f>H153+62</f>
        <v>122.1</v>
      </c>
      <c r="I156">
        <f>H156+(E156/2)</f>
        <v>122.55</v>
      </c>
      <c r="J156">
        <f t="shared" si="13"/>
        <v>3308.85</v>
      </c>
      <c r="K156">
        <f t="shared" si="17"/>
        <v>405499.56749999995</v>
      </c>
      <c r="L156">
        <f t="shared" si="14"/>
        <v>0.91125000000000012</v>
      </c>
      <c r="M156">
        <f t="shared" si="15"/>
        <v>0</v>
      </c>
      <c r="N156">
        <f t="shared" si="16"/>
        <v>0.91125000000000012</v>
      </c>
    </row>
    <row r="157" spans="2:14">
      <c r="B157" s="17" t="s">
        <v>90</v>
      </c>
      <c r="C157">
        <v>2</v>
      </c>
      <c r="D157">
        <v>0.9</v>
      </c>
      <c r="E157">
        <v>8.1</v>
      </c>
      <c r="F157">
        <v>0</v>
      </c>
      <c r="G157">
        <f t="shared" si="12"/>
        <v>14.58</v>
      </c>
      <c r="H157">
        <f>H154+62</f>
        <v>114</v>
      </c>
      <c r="I157">
        <f>H157+(E157/2)</f>
        <v>118.05</v>
      </c>
      <c r="J157">
        <f t="shared" si="13"/>
        <v>1721.1689999999999</v>
      </c>
      <c r="K157">
        <f t="shared" si="17"/>
        <v>203184.00044999999</v>
      </c>
      <c r="L157">
        <f t="shared" si="14"/>
        <v>39.858074999999992</v>
      </c>
      <c r="M157">
        <f t="shared" si="15"/>
        <v>0</v>
      </c>
      <c r="N157">
        <f t="shared" si="16"/>
        <v>39.858074999999992</v>
      </c>
    </row>
    <row r="158" spans="2:14">
      <c r="B158" t="s">
        <v>104</v>
      </c>
      <c r="G158" t="str">
        <f t="shared" si="12"/>
        <v/>
      </c>
      <c r="J158" t="str">
        <f t="shared" si="13"/>
        <v/>
      </c>
      <c r="K158" t="str">
        <f t="shared" si="17"/>
        <v/>
      </c>
      <c r="L158" t="str">
        <f t="shared" si="14"/>
        <v/>
      </c>
      <c r="M158" t="str">
        <f t="shared" si="15"/>
        <v/>
      </c>
      <c r="N158" t="str">
        <f t="shared" si="16"/>
        <v/>
      </c>
    </row>
    <row r="159" spans="2:14">
      <c r="B159" s="17" t="s">
        <v>89</v>
      </c>
      <c r="C159">
        <v>2</v>
      </c>
      <c r="D159">
        <v>15</v>
      </c>
      <c r="E159">
        <v>0.9</v>
      </c>
      <c r="F159">
        <v>0</v>
      </c>
      <c r="G159">
        <f t="shared" si="12"/>
        <v>27</v>
      </c>
      <c r="H159">
        <f>H156+$A$126</f>
        <v>183.1</v>
      </c>
      <c r="I159">
        <f>H159+(E159/2)</f>
        <v>183.54999999999998</v>
      </c>
      <c r="J159">
        <f t="shared" si="13"/>
        <v>4955.8499999999995</v>
      </c>
      <c r="K159">
        <f t="shared" si="17"/>
        <v>909646.26749999984</v>
      </c>
      <c r="L159">
        <f t="shared" si="14"/>
        <v>0.91125000000000012</v>
      </c>
      <c r="M159">
        <f t="shared" si="15"/>
        <v>0</v>
      </c>
      <c r="N159">
        <f t="shared" si="16"/>
        <v>0.91125000000000012</v>
      </c>
    </row>
    <row r="160" spans="2:14">
      <c r="B160" s="17" t="s">
        <v>90</v>
      </c>
      <c r="C160">
        <v>2</v>
      </c>
      <c r="D160">
        <v>0.9</v>
      </c>
      <c r="E160">
        <v>8.1</v>
      </c>
      <c r="F160">
        <v>0</v>
      </c>
      <c r="G160">
        <f t="shared" si="12"/>
        <v>14.58</v>
      </c>
      <c r="H160">
        <f>H157+$A$126</f>
        <v>175</v>
      </c>
      <c r="I160">
        <f>H160+(E160/2)</f>
        <v>179.05</v>
      </c>
      <c r="J160">
        <f t="shared" si="13"/>
        <v>2610.549</v>
      </c>
      <c r="K160">
        <f t="shared" si="17"/>
        <v>467418.79845000006</v>
      </c>
      <c r="L160">
        <f t="shared" si="14"/>
        <v>39.858074999999992</v>
      </c>
      <c r="M160">
        <f t="shared" si="15"/>
        <v>0</v>
      </c>
      <c r="N160">
        <f t="shared" si="16"/>
        <v>39.858074999999992</v>
      </c>
    </row>
    <row r="161" spans="2:14">
      <c r="B161" t="s">
        <v>105</v>
      </c>
      <c r="G161" t="str">
        <f t="shared" si="12"/>
        <v/>
      </c>
      <c r="J161" t="str">
        <f t="shared" si="13"/>
        <v/>
      </c>
      <c r="K161" t="str">
        <f t="shared" si="17"/>
        <v/>
      </c>
      <c r="L161" t="str">
        <f t="shared" si="14"/>
        <v/>
      </c>
      <c r="M161" t="str">
        <f t="shared" si="15"/>
        <v/>
      </c>
      <c r="N161" t="str">
        <f t="shared" si="16"/>
        <v/>
      </c>
    </row>
    <row r="162" spans="2:14">
      <c r="B162" s="17" t="s">
        <v>89</v>
      </c>
      <c r="C162">
        <v>2</v>
      </c>
      <c r="D162">
        <v>15</v>
      </c>
      <c r="E162">
        <v>0.9</v>
      </c>
      <c r="F162">
        <v>0</v>
      </c>
      <c r="G162">
        <f t="shared" si="12"/>
        <v>27</v>
      </c>
      <c r="H162">
        <f>H159+$A$126</f>
        <v>244.1</v>
      </c>
      <c r="I162">
        <f>H162+(E162/2)</f>
        <v>244.54999999999998</v>
      </c>
      <c r="J162">
        <f t="shared" si="13"/>
        <v>6602.8499999999995</v>
      </c>
      <c r="K162">
        <f t="shared" si="17"/>
        <v>1614726.9674999998</v>
      </c>
      <c r="L162">
        <f t="shared" si="14"/>
        <v>0.91125000000000012</v>
      </c>
      <c r="M162">
        <f t="shared" si="15"/>
        <v>0</v>
      </c>
      <c r="N162">
        <f t="shared" si="16"/>
        <v>0.91125000000000012</v>
      </c>
    </row>
    <row r="163" spans="2:14">
      <c r="B163" s="17" t="s">
        <v>90</v>
      </c>
      <c r="C163">
        <v>2</v>
      </c>
      <c r="D163">
        <v>0.9</v>
      </c>
      <c r="E163">
        <v>8.1</v>
      </c>
      <c r="F163">
        <v>0</v>
      </c>
      <c r="G163">
        <f t="shared" si="12"/>
        <v>14.58</v>
      </c>
      <c r="H163">
        <f>H160+$A$126</f>
        <v>236</v>
      </c>
      <c r="I163">
        <f>H163+(E163/2)</f>
        <v>240.05</v>
      </c>
      <c r="J163">
        <f t="shared" si="13"/>
        <v>3499.9290000000001</v>
      </c>
      <c r="K163">
        <f t="shared" si="17"/>
        <v>840157.95645000006</v>
      </c>
      <c r="L163">
        <f t="shared" si="14"/>
        <v>39.858074999999992</v>
      </c>
      <c r="M163">
        <f t="shared" si="15"/>
        <v>0</v>
      </c>
      <c r="N163">
        <f t="shared" si="16"/>
        <v>39.858074999999992</v>
      </c>
    </row>
    <row r="164" spans="2:14">
      <c r="B164" t="s">
        <v>106</v>
      </c>
      <c r="G164" t="str">
        <f t="shared" si="12"/>
        <v/>
      </c>
      <c r="J164" t="str">
        <f t="shared" si="13"/>
        <v/>
      </c>
      <c r="K164" t="str">
        <f t="shared" si="17"/>
        <v/>
      </c>
      <c r="L164" t="str">
        <f t="shared" si="14"/>
        <v/>
      </c>
      <c r="M164" t="str">
        <f t="shared" si="15"/>
        <v/>
      </c>
      <c r="N164" t="str">
        <f t="shared" si="16"/>
        <v/>
      </c>
    </row>
    <row r="165" spans="2:14">
      <c r="B165" s="17" t="s">
        <v>89</v>
      </c>
      <c r="C165">
        <v>2</v>
      </c>
      <c r="D165">
        <v>15</v>
      </c>
      <c r="E165">
        <v>0.9</v>
      </c>
      <c r="F165">
        <v>0</v>
      </c>
      <c r="G165">
        <f t="shared" si="12"/>
        <v>27</v>
      </c>
      <c r="H165">
        <f>H162+$A$126</f>
        <v>305.10000000000002</v>
      </c>
      <c r="I165">
        <f>H165+(E165/2)</f>
        <v>305.55</v>
      </c>
      <c r="J165">
        <f t="shared" si="13"/>
        <v>8249.85</v>
      </c>
      <c r="K165">
        <f t="shared" si="17"/>
        <v>2520741.6675</v>
      </c>
      <c r="L165">
        <f t="shared" si="14"/>
        <v>0.91125000000000012</v>
      </c>
      <c r="M165">
        <f t="shared" si="15"/>
        <v>0</v>
      </c>
      <c r="N165">
        <f t="shared" si="16"/>
        <v>0.91125000000000012</v>
      </c>
    </row>
    <row r="166" spans="2:14">
      <c r="B166" s="17" t="s">
        <v>90</v>
      </c>
      <c r="C166">
        <v>2</v>
      </c>
      <c r="D166">
        <v>0.9</v>
      </c>
      <c r="E166">
        <v>8.1</v>
      </c>
      <c r="F166">
        <v>0</v>
      </c>
      <c r="G166">
        <f t="shared" si="12"/>
        <v>14.58</v>
      </c>
      <c r="H166">
        <f>H163+$A$126</f>
        <v>297</v>
      </c>
      <c r="I166">
        <f>H166+(E166/2)</f>
        <v>301.05</v>
      </c>
      <c r="J166">
        <f t="shared" si="13"/>
        <v>4389.3090000000002</v>
      </c>
      <c r="K166">
        <f t="shared" si="17"/>
        <v>1321401.4744500001</v>
      </c>
      <c r="L166">
        <f t="shared" si="14"/>
        <v>39.858074999999992</v>
      </c>
      <c r="M166">
        <f t="shared" si="15"/>
        <v>0</v>
      </c>
      <c r="N166">
        <f t="shared" si="16"/>
        <v>39.858074999999992</v>
      </c>
    </row>
    <row r="167" spans="2:14">
      <c r="B167" t="s">
        <v>107</v>
      </c>
      <c r="G167" t="str">
        <f t="shared" si="12"/>
        <v/>
      </c>
      <c r="J167" t="str">
        <f t="shared" si="13"/>
        <v/>
      </c>
      <c r="K167" t="str">
        <f t="shared" si="17"/>
        <v/>
      </c>
      <c r="L167" t="str">
        <f t="shared" si="14"/>
        <v/>
      </c>
      <c r="M167" t="str">
        <f t="shared" si="15"/>
        <v/>
      </c>
      <c r="N167" t="str">
        <f t="shared" si="16"/>
        <v/>
      </c>
    </row>
    <row r="168" spans="2:14">
      <c r="B168" s="17" t="s">
        <v>89</v>
      </c>
      <c r="C168">
        <v>2</v>
      </c>
      <c r="D168">
        <v>15</v>
      </c>
      <c r="E168">
        <v>0.9</v>
      </c>
      <c r="F168">
        <v>0</v>
      </c>
      <c r="G168">
        <f t="shared" si="12"/>
        <v>27</v>
      </c>
      <c r="H168">
        <f>H165+$A$126</f>
        <v>366.1</v>
      </c>
      <c r="I168">
        <f>H168+(E168/2)</f>
        <v>366.55</v>
      </c>
      <c r="J168">
        <f t="shared" si="13"/>
        <v>9896.85</v>
      </c>
      <c r="K168">
        <f t="shared" si="17"/>
        <v>3627690.3674999997</v>
      </c>
      <c r="L168">
        <f t="shared" si="14"/>
        <v>0.91125000000000012</v>
      </c>
      <c r="M168">
        <f t="shared" si="15"/>
        <v>0</v>
      </c>
      <c r="N168">
        <f t="shared" si="16"/>
        <v>0.91125000000000012</v>
      </c>
    </row>
    <row r="169" spans="2:14">
      <c r="B169" s="17" t="s">
        <v>90</v>
      </c>
      <c r="C169">
        <v>2</v>
      </c>
      <c r="D169">
        <v>0.9</v>
      </c>
      <c r="E169">
        <v>8.1</v>
      </c>
      <c r="F169">
        <v>0</v>
      </c>
      <c r="G169">
        <f t="shared" si="12"/>
        <v>14.58</v>
      </c>
      <c r="H169">
        <f>H166+$A$126</f>
        <v>358</v>
      </c>
      <c r="I169">
        <f>H169+(E169/2)</f>
        <v>362.05</v>
      </c>
      <c r="J169">
        <f t="shared" si="13"/>
        <v>5278.6890000000003</v>
      </c>
      <c r="K169">
        <f t="shared" si="17"/>
        <v>1911149.3524500001</v>
      </c>
      <c r="L169">
        <f t="shared" si="14"/>
        <v>39.858074999999992</v>
      </c>
      <c r="M169">
        <f t="shared" si="15"/>
        <v>0</v>
      </c>
      <c r="N169">
        <f t="shared" si="16"/>
        <v>39.858074999999992</v>
      </c>
    </row>
    <row r="170" spans="2:14">
      <c r="B170" t="s">
        <v>108</v>
      </c>
      <c r="G170" t="str">
        <f t="shared" si="12"/>
        <v/>
      </c>
      <c r="J170" t="str">
        <f t="shared" si="13"/>
        <v/>
      </c>
      <c r="K170" t="str">
        <f t="shared" si="17"/>
        <v/>
      </c>
      <c r="L170" t="str">
        <f t="shared" si="14"/>
        <v/>
      </c>
      <c r="M170" t="str">
        <f t="shared" si="15"/>
        <v/>
      </c>
      <c r="N170" t="str">
        <f t="shared" si="16"/>
        <v/>
      </c>
    </row>
    <row r="171" spans="2:14">
      <c r="B171" s="17" t="s">
        <v>89</v>
      </c>
      <c r="C171">
        <v>2</v>
      </c>
      <c r="D171">
        <v>15</v>
      </c>
      <c r="E171">
        <v>0.9</v>
      </c>
      <c r="F171">
        <v>0</v>
      </c>
      <c r="G171">
        <f t="shared" si="12"/>
        <v>27</v>
      </c>
      <c r="H171">
        <f>H168+$A$126</f>
        <v>427.1</v>
      </c>
      <c r="I171">
        <f>H171+(E171/2)</f>
        <v>427.55</v>
      </c>
      <c r="J171">
        <f t="shared" si="13"/>
        <v>11543.85</v>
      </c>
      <c r="K171">
        <f t="shared" si="17"/>
        <v>4935573.0674999999</v>
      </c>
      <c r="L171">
        <f t="shared" si="14"/>
        <v>0.91125000000000012</v>
      </c>
      <c r="M171">
        <f t="shared" si="15"/>
        <v>0</v>
      </c>
      <c r="N171">
        <f t="shared" si="16"/>
        <v>0.91125000000000012</v>
      </c>
    </row>
    <row r="172" spans="2:14">
      <c r="B172" s="17" t="s">
        <v>90</v>
      </c>
      <c r="C172">
        <v>2</v>
      </c>
      <c r="D172">
        <v>0.9</v>
      </c>
      <c r="E172">
        <v>8.1</v>
      </c>
      <c r="F172">
        <v>0</v>
      </c>
      <c r="G172">
        <f t="shared" si="12"/>
        <v>14.58</v>
      </c>
      <c r="H172">
        <f>H169+$A$126</f>
        <v>419</v>
      </c>
      <c r="I172">
        <f>H172+(E172/2)</f>
        <v>423.05</v>
      </c>
      <c r="J172">
        <f t="shared" si="13"/>
        <v>6168.0690000000004</v>
      </c>
      <c r="K172">
        <f t="shared" si="17"/>
        <v>2609401.5904500005</v>
      </c>
      <c r="L172">
        <f t="shared" si="14"/>
        <v>39.858074999999992</v>
      </c>
      <c r="M172">
        <f t="shared" si="15"/>
        <v>0</v>
      </c>
      <c r="N172">
        <f t="shared" si="16"/>
        <v>39.858074999999992</v>
      </c>
    </row>
    <row r="173" spans="2:14">
      <c r="B173" t="s">
        <v>109</v>
      </c>
      <c r="G173" t="str">
        <f t="shared" si="12"/>
        <v/>
      </c>
      <c r="J173" t="str">
        <f t="shared" si="13"/>
        <v/>
      </c>
      <c r="K173" t="str">
        <f t="shared" si="17"/>
        <v/>
      </c>
      <c r="L173" t="str">
        <f t="shared" si="14"/>
        <v/>
      </c>
      <c r="M173" t="str">
        <f t="shared" si="15"/>
        <v/>
      </c>
      <c r="N173" t="str">
        <f t="shared" si="16"/>
        <v/>
      </c>
    </row>
    <row r="174" spans="2:14">
      <c r="B174" s="17" t="s">
        <v>89</v>
      </c>
      <c r="C174">
        <v>2</v>
      </c>
      <c r="D174">
        <v>15</v>
      </c>
      <c r="E174">
        <v>0.9</v>
      </c>
      <c r="F174">
        <v>0</v>
      </c>
      <c r="G174">
        <f t="shared" si="12"/>
        <v>27</v>
      </c>
      <c r="H174">
        <f>H171+$A$126</f>
        <v>488.1</v>
      </c>
      <c r="I174">
        <f>H174+(E174/2)</f>
        <v>488.55</v>
      </c>
      <c r="J174">
        <f t="shared" si="13"/>
        <v>13190.85</v>
      </c>
      <c r="K174">
        <f t="shared" si="17"/>
        <v>6444389.7675000001</v>
      </c>
      <c r="L174">
        <f t="shared" si="14"/>
        <v>0.91125000000000012</v>
      </c>
      <c r="M174">
        <f t="shared" si="15"/>
        <v>0</v>
      </c>
      <c r="N174">
        <f t="shared" si="16"/>
        <v>0.91125000000000012</v>
      </c>
    </row>
    <row r="175" spans="2:14">
      <c r="B175" s="17" t="s">
        <v>90</v>
      </c>
      <c r="C175">
        <v>2</v>
      </c>
      <c r="D175">
        <v>0.9</v>
      </c>
      <c r="E175">
        <v>8.1</v>
      </c>
      <c r="F175">
        <v>0</v>
      </c>
      <c r="G175">
        <f t="shared" si="12"/>
        <v>14.58</v>
      </c>
      <c r="H175">
        <f>H172+$A$126</f>
        <v>480</v>
      </c>
      <c r="I175">
        <f>H175+(E175/2)</f>
        <v>484.05</v>
      </c>
      <c r="J175">
        <f t="shared" si="13"/>
        <v>7057.4490000000005</v>
      </c>
      <c r="K175">
        <f t="shared" si="17"/>
        <v>3416158.1884499998</v>
      </c>
      <c r="L175">
        <f t="shared" si="14"/>
        <v>39.858074999999992</v>
      </c>
      <c r="M175">
        <f t="shared" si="15"/>
        <v>0</v>
      </c>
      <c r="N175">
        <f t="shared" si="16"/>
        <v>39.858074999999992</v>
      </c>
    </row>
    <row r="176" spans="2:14">
      <c r="B176" t="s">
        <v>110</v>
      </c>
      <c r="G176" t="str">
        <f t="shared" si="12"/>
        <v/>
      </c>
      <c r="J176" t="str">
        <f t="shared" si="13"/>
        <v/>
      </c>
      <c r="K176" t="str">
        <f t="shared" si="17"/>
        <v/>
      </c>
      <c r="L176" t="str">
        <f t="shared" si="14"/>
        <v/>
      </c>
      <c r="M176" t="str">
        <f t="shared" si="15"/>
        <v/>
      </c>
      <c r="N176" t="str">
        <f t="shared" si="16"/>
        <v/>
      </c>
    </row>
    <row r="177" spans="2:14">
      <c r="B177" s="17" t="s">
        <v>89</v>
      </c>
      <c r="C177">
        <v>2</v>
      </c>
      <c r="D177">
        <v>15</v>
      </c>
      <c r="E177">
        <v>0.9</v>
      </c>
      <c r="F177">
        <v>0</v>
      </c>
      <c r="G177">
        <f t="shared" si="12"/>
        <v>27</v>
      </c>
      <c r="H177">
        <f>H174+$A$126</f>
        <v>549.1</v>
      </c>
      <c r="I177">
        <f>H177+(E177/2)</f>
        <v>549.55000000000007</v>
      </c>
      <c r="J177">
        <f t="shared" si="13"/>
        <v>14837.850000000002</v>
      </c>
      <c r="K177">
        <f t="shared" si="17"/>
        <v>8154140.4675000021</v>
      </c>
      <c r="L177">
        <f t="shared" si="14"/>
        <v>0.91125000000000012</v>
      </c>
      <c r="M177">
        <f t="shared" si="15"/>
        <v>0</v>
      </c>
      <c r="N177">
        <f t="shared" si="16"/>
        <v>0.91125000000000012</v>
      </c>
    </row>
    <row r="178" spans="2:14">
      <c r="B178" s="17" t="s">
        <v>90</v>
      </c>
      <c r="C178">
        <v>2</v>
      </c>
      <c r="D178">
        <v>0.9</v>
      </c>
      <c r="E178">
        <v>8.1</v>
      </c>
      <c r="F178">
        <v>0</v>
      </c>
      <c r="G178">
        <f t="shared" si="12"/>
        <v>14.58</v>
      </c>
      <c r="H178">
        <f>H175+$A$126</f>
        <v>541</v>
      </c>
      <c r="I178">
        <f>H178+(E178/2)</f>
        <v>545.04999999999995</v>
      </c>
      <c r="J178">
        <f t="shared" si="13"/>
        <v>7946.8289999999997</v>
      </c>
      <c r="K178">
        <f t="shared" si="17"/>
        <v>4331419.146449999</v>
      </c>
      <c r="L178">
        <f t="shared" si="14"/>
        <v>39.858074999999992</v>
      </c>
      <c r="M178">
        <f t="shared" si="15"/>
        <v>0</v>
      </c>
      <c r="N178">
        <f t="shared" si="16"/>
        <v>39.858074999999992</v>
      </c>
    </row>
    <row r="179" spans="2:14">
      <c r="B179" s="17"/>
      <c r="G179" t="str">
        <f t="shared" si="12"/>
        <v/>
      </c>
      <c r="J179" t="str">
        <f t="shared" si="13"/>
        <v/>
      </c>
      <c r="K179" t="str">
        <f t="shared" si="17"/>
        <v/>
      </c>
      <c r="L179" t="str">
        <f t="shared" si="14"/>
        <v/>
      </c>
      <c r="M179" t="str">
        <f t="shared" si="15"/>
        <v/>
      </c>
      <c r="N179" t="str">
        <f t="shared" si="16"/>
        <v/>
      </c>
    </row>
    <row r="180" spans="2:14">
      <c r="B180" s="17" t="s">
        <v>121</v>
      </c>
      <c r="G180" t="str">
        <f t="shared" si="12"/>
        <v/>
      </c>
      <c r="J180" t="str">
        <f t="shared" si="13"/>
        <v/>
      </c>
      <c r="K180" t="str">
        <f t="shared" si="17"/>
        <v/>
      </c>
      <c r="L180" t="str">
        <f t="shared" si="14"/>
        <v/>
      </c>
      <c r="M180" t="str">
        <f t="shared" si="15"/>
        <v/>
      </c>
      <c r="N180" t="str">
        <f t="shared" si="16"/>
        <v/>
      </c>
    </row>
    <row r="181" spans="2:14">
      <c r="B181" s="17" t="s">
        <v>89</v>
      </c>
      <c r="C181">
        <v>2</v>
      </c>
      <c r="D181">
        <v>1</v>
      </c>
      <c r="E181">
        <v>550</v>
      </c>
      <c r="F181">
        <v>0</v>
      </c>
      <c r="G181">
        <f t="shared" si="12"/>
        <v>1100</v>
      </c>
      <c r="H181">
        <v>28.1</v>
      </c>
      <c r="I181">
        <f>H181+(E181/2)</f>
        <v>303.10000000000002</v>
      </c>
      <c r="J181">
        <f t="shared" si="13"/>
        <v>333410</v>
      </c>
      <c r="K181">
        <f t="shared" si="17"/>
        <v>101056571.00000001</v>
      </c>
      <c r="L181">
        <f t="shared" si="14"/>
        <v>13864583.333333332</v>
      </c>
      <c r="M181">
        <f t="shared" si="15"/>
        <v>0</v>
      </c>
      <c r="N181">
        <f t="shared" si="16"/>
        <v>13864583.333333332</v>
      </c>
    </row>
    <row r="182" spans="2:14">
      <c r="B182" s="17" t="s">
        <v>90</v>
      </c>
      <c r="C182">
        <v>2</v>
      </c>
      <c r="D182">
        <v>12.5</v>
      </c>
      <c r="E182">
        <v>550</v>
      </c>
      <c r="F182">
        <v>0</v>
      </c>
      <c r="G182">
        <f t="shared" si="12"/>
        <v>13750</v>
      </c>
      <c r="H182">
        <v>28.1</v>
      </c>
      <c r="I182">
        <f>H182+(E182/2)</f>
        <v>303.10000000000002</v>
      </c>
      <c r="J182">
        <f t="shared" si="13"/>
        <v>4167625.0000000005</v>
      </c>
      <c r="K182">
        <f t="shared" si="17"/>
        <v>1263207137.5000002</v>
      </c>
      <c r="L182">
        <f t="shared" si="14"/>
        <v>173307291.66666666</v>
      </c>
      <c r="M182">
        <f t="shared" si="15"/>
        <v>0</v>
      </c>
      <c r="N182">
        <f t="shared" si="16"/>
        <v>173307291.66666666</v>
      </c>
    </row>
    <row r="183" spans="2:14">
      <c r="B183" s="17"/>
      <c r="G183" t="str">
        <f t="shared" si="12"/>
        <v/>
      </c>
      <c r="J183" t="str">
        <f t="shared" si="13"/>
        <v/>
      </c>
      <c r="K183" t="str">
        <f t="shared" si="17"/>
        <v/>
      </c>
      <c r="L183" t="str">
        <f t="shared" si="14"/>
        <v/>
      </c>
      <c r="M183" t="str">
        <f t="shared" si="15"/>
        <v/>
      </c>
      <c r="N183" t="str">
        <f t="shared" si="16"/>
        <v/>
      </c>
    </row>
    <row r="184" spans="2:14">
      <c r="B184" t="s">
        <v>111</v>
      </c>
      <c r="G184" t="str">
        <f t="shared" si="12"/>
        <v/>
      </c>
      <c r="J184" t="str">
        <f t="shared" si="13"/>
        <v/>
      </c>
      <c r="K184" t="str">
        <f t="shared" si="17"/>
        <v/>
      </c>
      <c r="L184" t="str">
        <f t="shared" si="14"/>
        <v/>
      </c>
      <c r="M184" t="str">
        <f t="shared" si="15"/>
        <v/>
      </c>
      <c r="N184" t="str">
        <f t="shared" si="16"/>
        <v/>
      </c>
    </row>
    <row r="185" spans="2:14">
      <c r="B185" s="17" t="s">
        <v>89</v>
      </c>
      <c r="C185">
        <v>2</v>
      </c>
      <c r="D185">
        <v>15</v>
      </c>
      <c r="E185">
        <v>0.9</v>
      </c>
      <c r="F185">
        <v>0</v>
      </c>
      <c r="G185">
        <f t="shared" si="12"/>
        <v>27</v>
      </c>
      <c r="H185">
        <f>61-E185</f>
        <v>60.1</v>
      </c>
      <c r="I185">
        <f>H185+(E185/2)</f>
        <v>60.550000000000004</v>
      </c>
      <c r="J185">
        <f t="shared" si="13"/>
        <v>1634.8500000000001</v>
      </c>
      <c r="K185">
        <f t="shared" si="17"/>
        <v>98990.167500000025</v>
      </c>
      <c r="L185">
        <f t="shared" si="14"/>
        <v>0.91125000000000012</v>
      </c>
      <c r="M185">
        <f t="shared" si="15"/>
        <v>0</v>
      </c>
      <c r="N185">
        <f t="shared" si="16"/>
        <v>0.91125000000000012</v>
      </c>
    </row>
    <row r="186" spans="2:14">
      <c r="B186" s="17" t="s">
        <v>90</v>
      </c>
      <c r="C186">
        <v>2</v>
      </c>
      <c r="D186">
        <v>0.9</v>
      </c>
      <c r="E186">
        <v>8.1</v>
      </c>
      <c r="F186">
        <v>0</v>
      </c>
      <c r="G186">
        <f t="shared" si="12"/>
        <v>14.58</v>
      </c>
      <c r="H186">
        <f>H185-E186</f>
        <v>52</v>
      </c>
      <c r="I186">
        <f>H186+(E186/2)</f>
        <v>56.05</v>
      </c>
      <c r="J186">
        <f t="shared" si="13"/>
        <v>817.20899999999995</v>
      </c>
      <c r="K186">
        <f t="shared" si="17"/>
        <v>45804.564449999991</v>
      </c>
      <c r="L186">
        <f t="shared" si="14"/>
        <v>39.858074999999992</v>
      </c>
      <c r="M186">
        <f t="shared" si="15"/>
        <v>0</v>
      </c>
      <c r="N186">
        <f t="shared" si="16"/>
        <v>39.858074999999992</v>
      </c>
    </row>
    <row r="187" spans="2:14">
      <c r="B187" t="s">
        <v>112</v>
      </c>
      <c r="G187" t="str">
        <f t="shared" si="12"/>
        <v/>
      </c>
      <c r="J187" t="str">
        <f t="shared" si="13"/>
        <v/>
      </c>
      <c r="K187" t="str">
        <f t="shared" si="17"/>
        <v/>
      </c>
      <c r="L187" t="str">
        <f t="shared" si="14"/>
        <v/>
      </c>
      <c r="M187" t="str">
        <f t="shared" si="15"/>
        <v/>
      </c>
      <c r="N187" t="str">
        <f t="shared" si="16"/>
        <v/>
      </c>
    </row>
    <row r="188" spans="2:14">
      <c r="B188" s="17" t="s">
        <v>89</v>
      </c>
      <c r="C188">
        <v>2</v>
      </c>
      <c r="D188">
        <v>15</v>
      </c>
      <c r="E188">
        <v>0.9</v>
      </c>
      <c r="F188">
        <v>0</v>
      </c>
      <c r="G188">
        <f t="shared" si="12"/>
        <v>27</v>
      </c>
      <c r="H188">
        <f>H185+62</f>
        <v>122.1</v>
      </c>
      <c r="I188">
        <f>H188+(E188/2)</f>
        <v>122.55</v>
      </c>
      <c r="J188">
        <f t="shared" si="13"/>
        <v>3308.85</v>
      </c>
      <c r="K188">
        <f t="shared" si="17"/>
        <v>405499.56749999995</v>
      </c>
      <c r="L188">
        <f t="shared" si="14"/>
        <v>0.91125000000000012</v>
      </c>
      <c r="M188">
        <f t="shared" si="15"/>
        <v>0</v>
      </c>
      <c r="N188">
        <f t="shared" si="16"/>
        <v>0.91125000000000012</v>
      </c>
    </row>
    <row r="189" spans="2:14">
      <c r="B189" s="17" t="s">
        <v>90</v>
      </c>
      <c r="C189">
        <v>2</v>
      </c>
      <c r="D189">
        <v>0.9</v>
      </c>
      <c r="E189">
        <v>8.1</v>
      </c>
      <c r="F189">
        <v>0</v>
      </c>
      <c r="G189">
        <f t="shared" si="12"/>
        <v>14.58</v>
      </c>
      <c r="H189">
        <f>H186+62</f>
        <v>114</v>
      </c>
      <c r="I189">
        <f>H189+(E189/2)</f>
        <v>118.05</v>
      </c>
      <c r="J189">
        <f t="shared" si="13"/>
        <v>1721.1689999999999</v>
      </c>
      <c r="K189">
        <f t="shared" si="17"/>
        <v>203184.00044999999</v>
      </c>
      <c r="L189">
        <f t="shared" si="14"/>
        <v>39.858074999999992</v>
      </c>
      <c r="M189">
        <f t="shared" si="15"/>
        <v>0</v>
      </c>
      <c r="N189">
        <f t="shared" si="16"/>
        <v>39.858074999999992</v>
      </c>
    </row>
    <row r="190" spans="2:14">
      <c r="B190" t="s">
        <v>113</v>
      </c>
      <c r="G190" t="str">
        <f t="shared" si="12"/>
        <v/>
      </c>
      <c r="J190" t="str">
        <f t="shared" si="13"/>
        <v/>
      </c>
      <c r="K190" t="str">
        <f t="shared" si="17"/>
        <v/>
      </c>
      <c r="L190" t="str">
        <f t="shared" si="14"/>
        <v/>
      </c>
      <c r="M190" t="str">
        <f t="shared" si="15"/>
        <v/>
      </c>
      <c r="N190" t="str">
        <f t="shared" si="16"/>
        <v/>
      </c>
    </row>
    <row r="191" spans="2:14">
      <c r="B191" s="17" t="s">
        <v>89</v>
      </c>
      <c r="C191">
        <v>2</v>
      </c>
      <c r="D191">
        <v>15</v>
      </c>
      <c r="E191">
        <v>0.9</v>
      </c>
      <c r="F191">
        <v>0</v>
      </c>
      <c r="G191">
        <f t="shared" si="12"/>
        <v>27</v>
      </c>
      <c r="H191">
        <f>H188+$A$126</f>
        <v>183.1</v>
      </c>
      <c r="I191">
        <f>H191+(E191/2)</f>
        <v>183.54999999999998</v>
      </c>
      <c r="J191">
        <f t="shared" si="13"/>
        <v>4955.8499999999995</v>
      </c>
      <c r="K191">
        <f t="shared" si="17"/>
        <v>909646.26749999984</v>
      </c>
      <c r="L191">
        <f t="shared" si="14"/>
        <v>0.91125000000000012</v>
      </c>
      <c r="M191">
        <f t="shared" si="15"/>
        <v>0</v>
      </c>
      <c r="N191">
        <f t="shared" si="16"/>
        <v>0.91125000000000012</v>
      </c>
    </row>
    <row r="192" spans="2:14">
      <c r="B192" s="17" t="s">
        <v>90</v>
      </c>
      <c r="C192">
        <v>2</v>
      </c>
      <c r="D192">
        <v>0.9</v>
      </c>
      <c r="E192">
        <v>8.1</v>
      </c>
      <c r="F192">
        <v>0</v>
      </c>
      <c r="G192">
        <f t="shared" si="12"/>
        <v>14.58</v>
      </c>
      <c r="H192">
        <f>H189+$A$126</f>
        <v>175</v>
      </c>
      <c r="I192">
        <f>H192+(E192/2)</f>
        <v>179.05</v>
      </c>
      <c r="J192">
        <f t="shared" si="13"/>
        <v>2610.549</v>
      </c>
      <c r="K192">
        <f t="shared" si="17"/>
        <v>467418.79845000006</v>
      </c>
      <c r="L192">
        <f t="shared" si="14"/>
        <v>39.858074999999992</v>
      </c>
      <c r="M192">
        <f t="shared" si="15"/>
        <v>0</v>
      </c>
      <c r="N192">
        <f t="shared" si="16"/>
        <v>39.858074999999992</v>
      </c>
    </row>
    <row r="193" spans="2:14">
      <c r="B193" t="s">
        <v>114</v>
      </c>
      <c r="G193" t="str">
        <f t="shared" si="12"/>
        <v/>
      </c>
      <c r="J193" t="str">
        <f t="shared" si="13"/>
        <v/>
      </c>
      <c r="K193" t="str">
        <f t="shared" si="17"/>
        <v/>
      </c>
      <c r="L193" t="str">
        <f t="shared" si="14"/>
        <v/>
      </c>
      <c r="M193" t="str">
        <f t="shared" si="15"/>
        <v/>
      </c>
      <c r="N193" t="str">
        <f t="shared" si="16"/>
        <v/>
      </c>
    </row>
    <row r="194" spans="2:14">
      <c r="B194" s="17" t="s">
        <v>89</v>
      </c>
      <c r="C194">
        <v>2</v>
      </c>
      <c r="D194">
        <v>15</v>
      </c>
      <c r="E194">
        <v>0.9</v>
      </c>
      <c r="F194">
        <v>0</v>
      </c>
      <c r="G194">
        <f t="shared" si="12"/>
        <v>27</v>
      </c>
      <c r="H194">
        <f>H191+$A$126</f>
        <v>244.1</v>
      </c>
      <c r="I194">
        <f>H194+(E194/2)</f>
        <v>244.54999999999998</v>
      </c>
      <c r="J194">
        <f t="shared" si="13"/>
        <v>6602.8499999999995</v>
      </c>
      <c r="K194">
        <f t="shared" si="17"/>
        <v>1614726.9674999998</v>
      </c>
      <c r="L194">
        <f t="shared" si="14"/>
        <v>0.91125000000000012</v>
      </c>
      <c r="M194">
        <f t="shared" si="15"/>
        <v>0</v>
      </c>
      <c r="N194">
        <f t="shared" si="16"/>
        <v>0.91125000000000012</v>
      </c>
    </row>
    <row r="195" spans="2:14">
      <c r="B195" s="17" t="s">
        <v>90</v>
      </c>
      <c r="C195">
        <v>2</v>
      </c>
      <c r="D195">
        <v>0.9</v>
      </c>
      <c r="E195">
        <v>8.1</v>
      </c>
      <c r="F195">
        <v>0</v>
      </c>
      <c r="G195">
        <f t="shared" si="12"/>
        <v>14.58</v>
      </c>
      <c r="H195">
        <f>H192+$A$126</f>
        <v>236</v>
      </c>
      <c r="I195">
        <f>H195+(E195/2)</f>
        <v>240.05</v>
      </c>
      <c r="J195">
        <f t="shared" si="13"/>
        <v>3499.9290000000001</v>
      </c>
      <c r="K195">
        <f t="shared" si="17"/>
        <v>840157.95645000006</v>
      </c>
      <c r="L195">
        <f t="shared" si="14"/>
        <v>39.858074999999992</v>
      </c>
      <c r="M195">
        <f t="shared" si="15"/>
        <v>0</v>
      </c>
      <c r="N195">
        <f t="shared" si="16"/>
        <v>39.858074999999992</v>
      </c>
    </row>
    <row r="196" spans="2:14">
      <c r="B196" t="s">
        <v>115</v>
      </c>
      <c r="G196" t="str">
        <f t="shared" si="12"/>
        <v/>
      </c>
      <c r="J196" t="str">
        <f t="shared" si="13"/>
        <v/>
      </c>
      <c r="K196" t="str">
        <f t="shared" si="17"/>
        <v/>
      </c>
      <c r="L196" t="str">
        <f t="shared" si="14"/>
        <v/>
      </c>
      <c r="M196" t="str">
        <f t="shared" si="15"/>
        <v/>
      </c>
      <c r="N196" t="str">
        <f t="shared" si="16"/>
        <v/>
      </c>
    </row>
    <row r="197" spans="2:14">
      <c r="B197" s="17" t="s">
        <v>89</v>
      </c>
      <c r="C197">
        <v>2</v>
      </c>
      <c r="D197">
        <v>15</v>
      </c>
      <c r="E197">
        <v>0.9</v>
      </c>
      <c r="F197">
        <v>0</v>
      </c>
      <c r="G197">
        <f t="shared" si="12"/>
        <v>27</v>
      </c>
      <c r="H197">
        <f>H194+$A$126</f>
        <v>305.10000000000002</v>
      </c>
      <c r="I197">
        <f>H197+(E197/2)</f>
        <v>305.55</v>
      </c>
      <c r="J197">
        <f t="shared" si="13"/>
        <v>8249.85</v>
      </c>
      <c r="K197">
        <f t="shared" si="17"/>
        <v>2520741.6675</v>
      </c>
      <c r="L197">
        <f t="shared" si="14"/>
        <v>0.91125000000000012</v>
      </c>
      <c r="M197">
        <f t="shared" si="15"/>
        <v>0</v>
      </c>
      <c r="N197">
        <f t="shared" si="16"/>
        <v>0.91125000000000012</v>
      </c>
    </row>
    <row r="198" spans="2:14">
      <c r="B198" s="17" t="s">
        <v>90</v>
      </c>
      <c r="C198">
        <v>2</v>
      </c>
      <c r="D198">
        <v>0.9</v>
      </c>
      <c r="E198">
        <v>8.1</v>
      </c>
      <c r="F198">
        <v>0</v>
      </c>
      <c r="G198">
        <f t="shared" si="12"/>
        <v>14.58</v>
      </c>
      <c r="H198">
        <f>H195+$A$126</f>
        <v>297</v>
      </c>
      <c r="I198">
        <f>H198+(E198/2)</f>
        <v>301.05</v>
      </c>
      <c r="J198">
        <f t="shared" si="13"/>
        <v>4389.3090000000002</v>
      </c>
      <c r="K198">
        <f t="shared" si="17"/>
        <v>1321401.4744500001</v>
      </c>
      <c r="L198">
        <f t="shared" si="14"/>
        <v>39.858074999999992</v>
      </c>
      <c r="M198">
        <f t="shared" si="15"/>
        <v>0</v>
      </c>
      <c r="N198">
        <f t="shared" si="16"/>
        <v>39.858074999999992</v>
      </c>
    </row>
    <row r="199" spans="2:14">
      <c r="B199" t="s">
        <v>116</v>
      </c>
      <c r="G199" t="str">
        <f t="shared" si="12"/>
        <v/>
      </c>
      <c r="J199" t="str">
        <f t="shared" si="13"/>
        <v/>
      </c>
      <c r="K199" t="str">
        <f t="shared" si="17"/>
        <v/>
      </c>
      <c r="L199" t="str">
        <f t="shared" si="14"/>
        <v/>
      </c>
      <c r="M199" t="str">
        <f t="shared" si="15"/>
        <v/>
      </c>
      <c r="N199" t="str">
        <f t="shared" si="16"/>
        <v/>
      </c>
    </row>
    <row r="200" spans="2:14">
      <c r="B200" s="17" t="s">
        <v>89</v>
      </c>
      <c r="C200">
        <v>2</v>
      </c>
      <c r="D200">
        <v>15</v>
      </c>
      <c r="E200">
        <v>0.9</v>
      </c>
      <c r="F200">
        <v>0</v>
      </c>
      <c r="G200">
        <f t="shared" si="12"/>
        <v>27</v>
      </c>
      <c r="H200">
        <f>H197+$A$126</f>
        <v>366.1</v>
      </c>
      <c r="I200">
        <f>H200+(E200/2)</f>
        <v>366.55</v>
      </c>
      <c r="J200">
        <f t="shared" si="13"/>
        <v>9896.85</v>
      </c>
      <c r="K200">
        <f t="shared" si="17"/>
        <v>3627690.3674999997</v>
      </c>
      <c r="L200">
        <f t="shared" si="14"/>
        <v>0.91125000000000012</v>
      </c>
      <c r="M200">
        <f t="shared" si="15"/>
        <v>0</v>
      </c>
      <c r="N200">
        <f t="shared" si="16"/>
        <v>0.91125000000000012</v>
      </c>
    </row>
    <row r="201" spans="2:14">
      <c r="B201" s="17" t="s">
        <v>90</v>
      </c>
      <c r="C201">
        <v>2</v>
      </c>
      <c r="D201">
        <v>0.9</v>
      </c>
      <c r="E201">
        <v>8.1</v>
      </c>
      <c r="F201">
        <v>0</v>
      </c>
      <c r="G201">
        <f t="shared" si="12"/>
        <v>14.58</v>
      </c>
      <c r="H201">
        <f>H198+$A$126</f>
        <v>358</v>
      </c>
      <c r="I201">
        <f>H201+(E201/2)</f>
        <v>362.05</v>
      </c>
      <c r="J201">
        <f t="shared" si="13"/>
        <v>5278.6890000000003</v>
      </c>
      <c r="K201">
        <f t="shared" si="17"/>
        <v>1911149.3524500001</v>
      </c>
      <c r="L201">
        <f t="shared" si="14"/>
        <v>39.858074999999992</v>
      </c>
      <c r="M201">
        <f t="shared" si="15"/>
        <v>0</v>
      </c>
      <c r="N201">
        <f t="shared" si="16"/>
        <v>39.858074999999992</v>
      </c>
    </row>
    <row r="202" spans="2:14">
      <c r="B202" t="s">
        <v>117</v>
      </c>
      <c r="G202" t="str">
        <f t="shared" si="12"/>
        <v/>
      </c>
      <c r="J202" t="str">
        <f t="shared" si="13"/>
        <v/>
      </c>
      <c r="K202" t="str">
        <f t="shared" si="17"/>
        <v/>
      </c>
      <c r="L202" t="str">
        <f t="shared" si="14"/>
        <v/>
      </c>
      <c r="M202" t="str">
        <f t="shared" si="15"/>
        <v/>
      </c>
      <c r="N202" t="str">
        <f t="shared" si="16"/>
        <v/>
      </c>
    </row>
    <row r="203" spans="2:14">
      <c r="B203" s="17" t="s">
        <v>89</v>
      </c>
      <c r="C203">
        <v>2</v>
      </c>
      <c r="D203">
        <v>15</v>
      </c>
      <c r="E203">
        <v>0.9</v>
      </c>
      <c r="F203">
        <v>0</v>
      </c>
      <c r="G203">
        <f t="shared" ref="G203:G228" si="18">IF(C203="","",C203*D203*E203)</f>
        <v>27</v>
      </c>
      <c r="H203">
        <f>H200+$A$126</f>
        <v>427.1</v>
      </c>
      <c r="I203">
        <f>H203+(E203/2)</f>
        <v>427.55</v>
      </c>
      <c r="J203">
        <f t="shared" ref="J203:J228" si="19">IF(C203="","",G203*I203)</f>
        <v>11543.85</v>
      </c>
      <c r="K203">
        <f t="shared" si="17"/>
        <v>4935573.0674999999</v>
      </c>
      <c r="L203">
        <f t="shared" ref="L203:L228" si="20">IF(C203="","",1/12*D203*E203^3*(COS(DEGREES(F203)))^2)</f>
        <v>0.91125000000000012</v>
      </c>
      <c r="M203">
        <f t="shared" ref="M203:M228" si="21">IF(C203="","",1/12*D203*E203^3*(SIN(DEGREES(F203)))^2)</f>
        <v>0</v>
      </c>
      <c r="N203">
        <f t="shared" ref="N203:N220" si="22">IF(C203="","",L203+M203)</f>
        <v>0.91125000000000012</v>
      </c>
    </row>
    <row r="204" spans="2:14">
      <c r="B204" s="17" t="s">
        <v>90</v>
      </c>
      <c r="C204">
        <v>2</v>
      </c>
      <c r="D204">
        <v>0.9</v>
      </c>
      <c r="E204">
        <v>8.1</v>
      </c>
      <c r="F204">
        <v>0</v>
      </c>
      <c r="G204">
        <f t="shared" si="18"/>
        <v>14.58</v>
      </c>
      <c r="H204">
        <f>H201+$A$126</f>
        <v>419</v>
      </c>
      <c r="I204">
        <f>H204+(E204/2)</f>
        <v>423.05</v>
      </c>
      <c r="J204">
        <f t="shared" si="19"/>
        <v>6168.0690000000004</v>
      </c>
      <c r="K204">
        <f t="shared" ref="K204:K228" si="23">IF(C204="","",G204*I204^2)</f>
        <v>2609401.5904500005</v>
      </c>
      <c r="L204">
        <f t="shared" si="20"/>
        <v>39.858074999999992</v>
      </c>
      <c r="M204">
        <f t="shared" si="21"/>
        <v>0</v>
      </c>
      <c r="N204">
        <f t="shared" si="22"/>
        <v>39.858074999999992</v>
      </c>
    </row>
    <row r="205" spans="2:14">
      <c r="B205" t="s">
        <v>118</v>
      </c>
      <c r="G205" t="str">
        <f t="shared" si="18"/>
        <v/>
      </c>
      <c r="J205" t="str">
        <f t="shared" si="19"/>
        <v/>
      </c>
      <c r="K205" t="str">
        <f t="shared" si="23"/>
        <v/>
      </c>
      <c r="L205" t="str">
        <f t="shared" si="20"/>
        <v/>
      </c>
      <c r="M205" t="str">
        <f t="shared" si="21"/>
        <v/>
      </c>
      <c r="N205" t="str">
        <f t="shared" si="22"/>
        <v/>
      </c>
    </row>
    <row r="206" spans="2:14">
      <c r="B206" s="17" t="s">
        <v>89</v>
      </c>
      <c r="C206">
        <v>2</v>
      </c>
      <c r="D206">
        <v>15</v>
      </c>
      <c r="E206">
        <v>0.9</v>
      </c>
      <c r="F206">
        <v>0</v>
      </c>
      <c r="G206">
        <f t="shared" si="18"/>
        <v>27</v>
      </c>
      <c r="H206">
        <f>H203+$A$126</f>
        <v>488.1</v>
      </c>
      <c r="I206">
        <f>H206+(E206/2)</f>
        <v>488.55</v>
      </c>
      <c r="J206">
        <f t="shared" si="19"/>
        <v>13190.85</v>
      </c>
      <c r="K206">
        <f t="shared" si="23"/>
        <v>6444389.7675000001</v>
      </c>
      <c r="L206">
        <f t="shared" si="20"/>
        <v>0.91125000000000012</v>
      </c>
      <c r="M206">
        <f t="shared" si="21"/>
        <v>0</v>
      </c>
      <c r="N206">
        <f t="shared" si="22"/>
        <v>0.91125000000000012</v>
      </c>
    </row>
    <row r="207" spans="2:14">
      <c r="B207" s="17" t="s">
        <v>90</v>
      </c>
      <c r="C207">
        <v>2</v>
      </c>
      <c r="D207">
        <v>0.9</v>
      </c>
      <c r="E207">
        <v>8.1</v>
      </c>
      <c r="F207">
        <v>0</v>
      </c>
      <c r="G207">
        <f t="shared" si="18"/>
        <v>14.58</v>
      </c>
      <c r="H207">
        <f>H204+$A$126</f>
        <v>480</v>
      </c>
      <c r="I207">
        <f>H207+(E207/2)</f>
        <v>484.05</v>
      </c>
      <c r="J207">
        <f t="shared" si="19"/>
        <v>7057.4490000000005</v>
      </c>
      <c r="K207">
        <f t="shared" si="23"/>
        <v>3416158.1884499998</v>
      </c>
      <c r="L207">
        <f t="shared" si="20"/>
        <v>39.858074999999992</v>
      </c>
      <c r="M207">
        <f t="shared" si="21"/>
        <v>0</v>
      </c>
      <c r="N207">
        <f t="shared" si="22"/>
        <v>39.858074999999992</v>
      </c>
    </row>
    <row r="208" spans="2:14">
      <c r="B208" t="s">
        <v>119</v>
      </c>
      <c r="G208" t="str">
        <f t="shared" si="18"/>
        <v/>
      </c>
      <c r="J208" t="str">
        <f t="shared" si="19"/>
        <v/>
      </c>
      <c r="K208" t="str">
        <f t="shared" si="23"/>
        <v/>
      </c>
      <c r="L208" t="str">
        <f t="shared" si="20"/>
        <v/>
      </c>
      <c r="M208" t="str">
        <f t="shared" si="21"/>
        <v/>
      </c>
      <c r="N208" t="str">
        <f t="shared" si="22"/>
        <v/>
      </c>
    </row>
    <row r="209" spans="2:14">
      <c r="B209" s="17" t="s">
        <v>89</v>
      </c>
      <c r="C209">
        <v>2</v>
      </c>
      <c r="D209">
        <v>15</v>
      </c>
      <c r="E209">
        <v>0.9</v>
      </c>
      <c r="F209">
        <v>0</v>
      </c>
      <c r="G209">
        <f t="shared" si="18"/>
        <v>27</v>
      </c>
      <c r="H209">
        <f>H206+$A$126</f>
        <v>549.1</v>
      </c>
      <c r="I209">
        <f>H209+(E209/2)</f>
        <v>549.55000000000007</v>
      </c>
      <c r="J209">
        <f t="shared" si="19"/>
        <v>14837.850000000002</v>
      </c>
      <c r="K209">
        <f t="shared" si="23"/>
        <v>8154140.4675000021</v>
      </c>
      <c r="L209">
        <f t="shared" si="20"/>
        <v>0.91125000000000012</v>
      </c>
      <c r="M209">
        <f t="shared" si="21"/>
        <v>0</v>
      </c>
      <c r="N209">
        <f t="shared" si="22"/>
        <v>0.91125000000000012</v>
      </c>
    </row>
    <row r="210" spans="2:14">
      <c r="B210" s="17" t="s">
        <v>90</v>
      </c>
      <c r="C210">
        <v>2</v>
      </c>
      <c r="D210">
        <v>0.9</v>
      </c>
      <c r="E210">
        <v>8.1</v>
      </c>
      <c r="F210">
        <v>0</v>
      </c>
      <c r="G210">
        <f t="shared" si="18"/>
        <v>14.58</v>
      </c>
      <c r="H210">
        <f>H207+$A$126</f>
        <v>541</v>
      </c>
      <c r="I210">
        <f>H210+(E210/2)</f>
        <v>545.04999999999995</v>
      </c>
      <c r="J210">
        <f t="shared" si="19"/>
        <v>7946.8289999999997</v>
      </c>
      <c r="K210">
        <f t="shared" si="23"/>
        <v>4331419.146449999</v>
      </c>
      <c r="L210">
        <f t="shared" si="20"/>
        <v>39.858074999999992</v>
      </c>
      <c r="M210">
        <f t="shared" si="21"/>
        <v>0</v>
      </c>
      <c r="N210">
        <f t="shared" si="22"/>
        <v>39.858074999999992</v>
      </c>
    </row>
    <row r="211" spans="2:14">
      <c r="B211" s="17" t="s">
        <v>120</v>
      </c>
      <c r="G211" t="str">
        <f t="shared" si="18"/>
        <v/>
      </c>
      <c r="J211" t="str">
        <f t="shared" si="19"/>
        <v/>
      </c>
      <c r="K211" t="str">
        <f t="shared" si="23"/>
        <v/>
      </c>
      <c r="L211" t="str">
        <f t="shared" si="20"/>
        <v/>
      </c>
      <c r="M211" t="str">
        <f t="shared" si="21"/>
        <v/>
      </c>
      <c r="N211" t="str">
        <f t="shared" si="22"/>
        <v/>
      </c>
    </row>
    <row r="212" spans="2:14">
      <c r="B212" s="17" t="s">
        <v>89</v>
      </c>
      <c r="C212">
        <v>1</v>
      </c>
      <c r="D212">
        <v>1</v>
      </c>
      <c r="E212">
        <v>550</v>
      </c>
      <c r="F212">
        <v>0</v>
      </c>
      <c r="G212">
        <f t="shared" si="18"/>
        <v>550</v>
      </c>
      <c r="H212">
        <v>28.1</v>
      </c>
      <c r="I212">
        <f>H212+(E212/2)</f>
        <v>303.10000000000002</v>
      </c>
      <c r="J212">
        <f t="shared" si="19"/>
        <v>166705</v>
      </c>
      <c r="K212">
        <f t="shared" si="23"/>
        <v>50528285.500000007</v>
      </c>
      <c r="L212">
        <f t="shared" si="20"/>
        <v>13864583.333333332</v>
      </c>
      <c r="M212">
        <f t="shared" si="21"/>
        <v>0</v>
      </c>
      <c r="N212">
        <f t="shared" si="22"/>
        <v>13864583.333333332</v>
      </c>
    </row>
    <row r="213" spans="2:14">
      <c r="B213" s="17" t="s">
        <v>90</v>
      </c>
      <c r="C213">
        <v>1</v>
      </c>
      <c r="D213">
        <v>12.5</v>
      </c>
      <c r="E213">
        <v>550</v>
      </c>
      <c r="F213">
        <v>0</v>
      </c>
      <c r="G213">
        <f t="shared" si="18"/>
        <v>6875</v>
      </c>
      <c r="H213">
        <v>28.1</v>
      </c>
      <c r="I213">
        <f>H213+(E213/2)</f>
        <v>303.10000000000002</v>
      </c>
      <c r="J213">
        <f t="shared" si="19"/>
        <v>2083812.5000000002</v>
      </c>
      <c r="K213">
        <f>IF(C213="","",G213*I213^2)</f>
        <v>631603568.75000012</v>
      </c>
      <c r="L213">
        <f t="shared" si="20"/>
        <v>173307291.66666666</v>
      </c>
      <c r="M213">
        <f t="shared" si="21"/>
        <v>0</v>
      </c>
      <c r="N213">
        <f t="shared" si="22"/>
        <v>173307291.66666666</v>
      </c>
    </row>
    <row r="214" spans="2:14">
      <c r="B214" s="17" t="s">
        <v>169</v>
      </c>
      <c r="G214" t="str">
        <f t="shared" si="18"/>
        <v/>
      </c>
      <c r="J214" t="str">
        <f t="shared" si="19"/>
        <v/>
      </c>
      <c r="K214" t="str">
        <f t="shared" ref="K214:K219" si="24">IF(C214="","",G214*I214^2)</f>
        <v/>
      </c>
      <c r="L214" t="str">
        <f t="shared" si="20"/>
        <v/>
      </c>
      <c r="M214" t="str">
        <f t="shared" si="21"/>
        <v/>
      </c>
      <c r="N214" t="str">
        <f t="shared" si="22"/>
        <v/>
      </c>
    </row>
    <row r="215" spans="2:14">
      <c r="B215" s="17" t="s">
        <v>164</v>
      </c>
      <c r="C215">
        <v>0</v>
      </c>
      <c r="D215">
        <v>1.2</v>
      </c>
      <c r="E215">
        <v>549.56299999999999</v>
      </c>
      <c r="F215">
        <v>0</v>
      </c>
      <c r="G215">
        <f t="shared" si="18"/>
        <v>0</v>
      </c>
      <c r="H215">
        <f>598.47/10</f>
        <v>59.847000000000001</v>
      </c>
      <c r="I215">
        <f>H215+(E215/2)</f>
        <v>334.62849999999997</v>
      </c>
      <c r="J215">
        <f t="shared" si="19"/>
        <v>0</v>
      </c>
      <c r="K215">
        <f t="shared" si="24"/>
        <v>0</v>
      </c>
      <c r="L215">
        <f t="shared" si="20"/>
        <v>16597873.751539651</v>
      </c>
      <c r="M215">
        <f t="shared" si="21"/>
        <v>0</v>
      </c>
      <c r="N215">
        <f t="shared" si="22"/>
        <v>16597873.751539651</v>
      </c>
    </row>
    <row r="216" spans="2:14">
      <c r="B216" s="17" t="s">
        <v>165</v>
      </c>
      <c r="C216">
        <v>0</v>
      </c>
      <c r="D216">
        <f>2719.3/10</f>
        <v>271.93</v>
      </c>
      <c r="E216">
        <v>1.4</v>
      </c>
      <c r="F216">
        <v>0</v>
      </c>
      <c r="G216">
        <f t="shared" si="18"/>
        <v>0</v>
      </c>
      <c r="H216">
        <v>0</v>
      </c>
      <c r="I216">
        <f t="shared" ref="I216:I220" si="25">H216+(E216/2)</f>
        <v>0.7</v>
      </c>
      <c r="J216">
        <f t="shared" si="19"/>
        <v>0</v>
      </c>
      <c r="K216">
        <f t="shared" si="24"/>
        <v>0</v>
      </c>
      <c r="L216">
        <f t="shared" si="20"/>
        <v>62.181326666666649</v>
      </c>
      <c r="M216">
        <f t="shared" si="21"/>
        <v>0</v>
      </c>
      <c r="N216">
        <f t="shared" si="22"/>
        <v>62.181326666666649</v>
      </c>
    </row>
    <row r="217" spans="2:14">
      <c r="B217" s="17" t="s">
        <v>166</v>
      </c>
      <c r="C217">
        <v>0</v>
      </c>
      <c r="D217">
        <f>3858.83/10</f>
        <v>385.88299999999998</v>
      </c>
      <c r="E217">
        <v>1.4</v>
      </c>
      <c r="F217">
        <v>0</v>
      </c>
      <c r="G217">
        <f t="shared" si="18"/>
        <v>0</v>
      </c>
      <c r="H217">
        <v>0</v>
      </c>
      <c r="I217">
        <f t="shared" si="25"/>
        <v>0.7</v>
      </c>
      <c r="J217">
        <f t="shared" si="19"/>
        <v>0</v>
      </c>
      <c r="K217">
        <f t="shared" si="24"/>
        <v>0</v>
      </c>
      <c r="L217">
        <f t="shared" si="20"/>
        <v>88.238579333333291</v>
      </c>
      <c r="M217">
        <f t="shared" si="21"/>
        <v>0</v>
      </c>
      <c r="N217">
        <f t="shared" si="22"/>
        <v>88.238579333333291</v>
      </c>
    </row>
    <row r="218" spans="2:14">
      <c r="B218" s="17" t="s">
        <v>167</v>
      </c>
      <c r="C218">
        <v>0</v>
      </c>
      <c r="D218">
        <f>3043.74/10</f>
        <v>304.37399999999997</v>
      </c>
      <c r="E218">
        <v>1.4</v>
      </c>
      <c r="F218">
        <v>0</v>
      </c>
      <c r="G218">
        <f t="shared" si="18"/>
        <v>0</v>
      </c>
      <c r="H218">
        <v>0</v>
      </c>
      <c r="I218">
        <f t="shared" si="25"/>
        <v>0.7</v>
      </c>
      <c r="J218">
        <f t="shared" si="19"/>
        <v>0</v>
      </c>
      <c r="K218">
        <f t="shared" si="24"/>
        <v>0</v>
      </c>
      <c r="L218">
        <f t="shared" si="20"/>
        <v>69.600187999999974</v>
      </c>
      <c r="M218">
        <f t="shared" si="21"/>
        <v>0</v>
      </c>
      <c r="N218">
        <f t="shared" si="22"/>
        <v>69.600187999999974</v>
      </c>
    </row>
    <row r="219" spans="2:14">
      <c r="B219" s="17" t="s">
        <v>168</v>
      </c>
      <c r="C219">
        <v>0</v>
      </c>
      <c r="D219">
        <f>3497.17/10</f>
        <v>349.71699999999998</v>
      </c>
      <c r="E219">
        <v>1.4</v>
      </c>
      <c r="F219">
        <v>0</v>
      </c>
      <c r="G219">
        <f t="shared" si="18"/>
        <v>0</v>
      </c>
      <c r="H219">
        <v>0</v>
      </c>
      <c r="I219">
        <f t="shared" si="25"/>
        <v>0.7</v>
      </c>
      <c r="J219">
        <f t="shared" si="19"/>
        <v>0</v>
      </c>
      <c r="K219">
        <f t="shared" si="24"/>
        <v>0</v>
      </c>
      <c r="L219">
        <f t="shared" si="20"/>
        <v>79.968620666666638</v>
      </c>
      <c r="M219">
        <f t="shared" si="21"/>
        <v>0</v>
      </c>
      <c r="N219">
        <f t="shared" si="22"/>
        <v>79.968620666666638</v>
      </c>
    </row>
    <row r="220" spans="2:14">
      <c r="B220" s="17" t="s">
        <v>170</v>
      </c>
      <c r="C220">
        <v>2</v>
      </c>
      <c r="D220">
        <f>13730.89/10</f>
        <v>1373.0889999999999</v>
      </c>
      <c r="E220">
        <v>0.8</v>
      </c>
      <c r="F220">
        <v>0</v>
      </c>
      <c r="G220">
        <f t="shared" si="18"/>
        <v>2196.9423999999999</v>
      </c>
      <c r="H220">
        <f>6096/10</f>
        <v>609.6</v>
      </c>
      <c r="I220">
        <f t="shared" si="25"/>
        <v>610</v>
      </c>
      <c r="J220">
        <f t="shared" ref="J220" si="26">IF(C220="","",G220*I220)</f>
        <v>1340134.8640000001</v>
      </c>
      <c r="K220">
        <f t="shared" ref="K220" si="27">IF(C220="","",G220*I220^2)</f>
        <v>817482267.03999996</v>
      </c>
      <c r="L220">
        <f t="shared" si="20"/>
        <v>58.585130666666679</v>
      </c>
      <c r="M220">
        <f t="shared" si="21"/>
        <v>0</v>
      </c>
      <c r="N220">
        <f t="shared" si="22"/>
        <v>58.585130666666679</v>
      </c>
    </row>
    <row r="221" spans="2:14">
      <c r="B221" s="17"/>
    </row>
    <row r="222" spans="2:14">
      <c r="B222" s="17"/>
    </row>
    <row r="223" spans="2:14">
      <c r="B223" s="17"/>
    </row>
    <row r="224" spans="2:14">
      <c r="B224" t="s">
        <v>122</v>
      </c>
      <c r="G224" t="str">
        <f t="shared" si="18"/>
        <v/>
      </c>
      <c r="J224" t="str">
        <f t="shared" si="19"/>
        <v/>
      </c>
      <c r="K224" t="str">
        <f t="shared" si="23"/>
        <v/>
      </c>
      <c r="L224" t="str">
        <f t="shared" si="20"/>
        <v/>
      </c>
      <c r="M224" t="str">
        <f t="shared" si="21"/>
        <v/>
      </c>
      <c r="N224" t="str">
        <f>IF(C224="","",L224+M224)</f>
        <v/>
      </c>
    </row>
    <row r="225" spans="2:14">
      <c r="B225" t="s">
        <v>123</v>
      </c>
      <c r="C225">
        <v>2</v>
      </c>
      <c r="D225">
        <v>12</v>
      </c>
      <c r="E225">
        <v>95.1</v>
      </c>
      <c r="F225">
        <v>128</v>
      </c>
      <c r="G225">
        <f t="shared" si="18"/>
        <v>2282.3999999999996</v>
      </c>
      <c r="H225">
        <f>478.9/10</f>
        <v>47.89</v>
      </c>
      <c r="I225">
        <f>H225+(375.8/10)</f>
        <v>85.47</v>
      </c>
      <c r="J225">
        <f t="shared" si="19"/>
        <v>195076.72799999997</v>
      </c>
      <c r="K225">
        <f t="shared" si="23"/>
        <v>16673207.942159997</v>
      </c>
      <c r="L225">
        <f t="shared" si="20"/>
        <v>30128.40624805327</v>
      </c>
      <c r="M225">
        <f t="shared" si="21"/>
        <v>829956.94475194649</v>
      </c>
      <c r="N225">
        <f>IF(C225="","",L225+M225)</f>
        <v>860085.35099999979</v>
      </c>
    </row>
    <row r="226" spans="2:14">
      <c r="B226" t="s">
        <v>124</v>
      </c>
      <c r="C226">
        <v>2</v>
      </c>
      <c r="D226">
        <v>12</v>
      </c>
      <c r="E226">
        <v>85.6</v>
      </c>
      <c r="F226">
        <v>136</v>
      </c>
      <c r="G226">
        <f t="shared" si="18"/>
        <v>2054.3999999999996</v>
      </c>
      <c r="I226">
        <f>299.23/10</f>
        <v>29.923000000000002</v>
      </c>
      <c r="J226">
        <f t="shared" si="19"/>
        <v>61473.811199999996</v>
      </c>
      <c r="K226">
        <f t="shared" si="23"/>
        <v>1839480.8525376001</v>
      </c>
      <c r="L226">
        <f t="shared" si="20"/>
        <v>141306.97808330975</v>
      </c>
      <c r="M226">
        <f t="shared" si="21"/>
        <v>485915.03791669011</v>
      </c>
      <c r="N226">
        <f>IF(C226="","",L226+M226)</f>
        <v>627222.01599999983</v>
      </c>
    </row>
    <row r="227" spans="2:14">
      <c r="B227" t="s">
        <v>130</v>
      </c>
      <c r="C227">
        <v>2</v>
      </c>
      <c r="D227">
        <v>15</v>
      </c>
      <c r="E227">
        <v>0.9</v>
      </c>
      <c r="F227">
        <v>46</v>
      </c>
      <c r="G227">
        <f t="shared" si="18"/>
        <v>27</v>
      </c>
      <c r="I227">
        <f>341.16/10</f>
        <v>34.116</v>
      </c>
      <c r="J227">
        <f t="shared" si="19"/>
        <v>921.13199999999995</v>
      </c>
      <c r="K227">
        <f t="shared" si="23"/>
        <v>31425.339312</v>
      </c>
      <c r="L227">
        <f t="shared" si="20"/>
        <v>0.87861968181430405</v>
      </c>
      <c r="M227">
        <f t="shared" si="21"/>
        <v>3.2630318185696082E-2</v>
      </c>
      <c r="N227">
        <f>IF(C227="","",L227+M227)</f>
        <v>0.91125000000000012</v>
      </c>
    </row>
    <row r="228" spans="2:14" s="20" customFormat="1" ht="15" thickBot="1">
      <c r="B228" s="20" t="s">
        <v>131</v>
      </c>
      <c r="C228" s="20">
        <v>2</v>
      </c>
      <c r="D228" s="20">
        <v>0.9</v>
      </c>
      <c r="E228" s="20">
        <v>8.1</v>
      </c>
      <c r="F228" s="20">
        <v>136</v>
      </c>
      <c r="G228" s="20">
        <f t="shared" si="18"/>
        <v>14.58</v>
      </c>
      <c r="I228" s="20">
        <f>363.15/10</f>
        <v>36.314999999999998</v>
      </c>
      <c r="J228" s="20">
        <f t="shared" si="19"/>
        <v>529.47269999999992</v>
      </c>
      <c r="K228" s="20">
        <f t="shared" si="23"/>
        <v>19227.801100499997</v>
      </c>
      <c r="L228" s="20">
        <f t="shared" si="20"/>
        <v>8.9796339841296593</v>
      </c>
      <c r="M228" s="20">
        <f t="shared" si="21"/>
        <v>30.878441015870337</v>
      </c>
      <c r="N228" s="20">
        <f>IF(C228="","",L228+M228)</f>
        <v>39.858074999999999</v>
      </c>
    </row>
    <row r="229" spans="2:14">
      <c r="B229" s="21"/>
      <c r="C229" s="21"/>
      <c r="D229" s="21"/>
      <c r="E229" s="21"/>
      <c r="F229" s="21"/>
      <c r="G229" s="22">
        <f>SUM(G10:G228)</f>
        <v>31553.022400000016</v>
      </c>
      <c r="H229" s="21"/>
      <c r="I229" s="21"/>
      <c r="J229" s="22">
        <f>SUM(J10:J228)</f>
        <v>9191052.9632919952</v>
      </c>
      <c r="K229" s="22">
        <f>SUM(K10:K228)</f>
        <v>3312689491.2809958</v>
      </c>
      <c r="N229" s="22">
        <f>SUM(N10:N228)</f>
        <v>392440281.53008491</v>
      </c>
    </row>
    <row r="230" spans="2:14">
      <c r="G230" t="s">
        <v>133</v>
      </c>
      <c r="J230" t="s">
        <v>132</v>
      </c>
      <c r="K230" t="s">
        <v>134</v>
      </c>
      <c r="N230" t="s">
        <v>135</v>
      </c>
    </row>
    <row r="231" spans="2:14">
      <c r="B231" t="s">
        <v>136</v>
      </c>
    </row>
    <row r="232" spans="2:14" ht="16.5">
      <c r="B232" t="s">
        <v>141</v>
      </c>
      <c r="C232" t="s">
        <v>137</v>
      </c>
    </row>
    <row r="233" spans="2:14">
      <c r="C233" s="23">
        <f>J229/G229</f>
        <v>291.28914646515733</v>
      </c>
      <c r="D233" t="s">
        <v>138</v>
      </c>
    </row>
    <row r="234" spans="2:14" ht="16.5">
      <c r="B234" t="s">
        <v>142</v>
      </c>
      <c r="C234" t="s">
        <v>140</v>
      </c>
      <c r="E234" t="s">
        <v>143</v>
      </c>
      <c r="F234">
        <f>MainDim!D4</f>
        <v>6.0960000000000001</v>
      </c>
      <c r="G234" t="s">
        <v>144</v>
      </c>
    </row>
    <row r="235" spans="2:14">
      <c r="C235" s="23">
        <f>F235-C233</f>
        <v>318.31085353484269</v>
      </c>
      <c r="D235" t="s">
        <v>138</v>
      </c>
      <c r="F235">
        <f>F234*100</f>
        <v>609.6</v>
      </c>
      <c r="G235" t="s">
        <v>138</v>
      </c>
    </row>
    <row r="237" spans="2:14" ht="17">
      <c r="B237" s="24" t="s">
        <v>145</v>
      </c>
      <c r="C237" s="25">
        <f>SUM(K229,N229)</f>
        <v>3705129772.8110809</v>
      </c>
      <c r="D237" t="s">
        <v>150</v>
      </c>
    </row>
    <row r="239" spans="2:14" ht="17">
      <c r="B239" s="24" t="s">
        <v>146</v>
      </c>
      <c r="C239" s="25">
        <f>SUM(C237,-((C233^2)*G229))</f>
        <v>1027875800.0177007</v>
      </c>
      <c r="D239" t="s">
        <v>150</v>
      </c>
    </row>
    <row r="241" spans="2:10">
      <c r="B241" t="s">
        <v>147</v>
      </c>
      <c r="F241" t="s">
        <v>153</v>
      </c>
      <c r="G241">
        <v>1</v>
      </c>
    </row>
    <row r="242" spans="2:10" ht="17.5">
      <c r="B242" t="s">
        <v>148</v>
      </c>
      <c r="C242" s="25">
        <f>C239/C233</f>
        <v>3528713.0073026954</v>
      </c>
      <c r="D242" t="s">
        <v>151</v>
      </c>
      <c r="F242" t="s">
        <v>154</v>
      </c>
      <c r="G242">
        <v>7.99</v>
      </c>
      <c r="I242" t="s">
        <v>158</v>
      </c>
      <c r="J242">
        <f>G241*G242*G243*G244*(G245+0.7)*(10^(-6))</f>
        <v>3.1243307300408429</v>
      </c>
    </row>
    <row r="243" spans="2:10" ht="16.5">
      <c r="C243" s="26">
        <f>C242/(10^6)</f>
        <v>3.5287130073026955</v>
      </c>
      <c r="D243" t="s">
        <v>152</v>
      </c>
      <c r="F243" t="s">
        <v>155</v>
      </c>
      <c r="G243">
        <f>0.94*MainDim!D2^2</f>
        <v>9509.3562160000001</v>
      </c>
    </row>
    <row r="244" spans="2:10">
      <c r="B244" t="s">
        <v>171</v>
      </c>
      <c r="F244" t="s">
        <v>156</v>
      </c>
      <c r="G244">
        <f>MainDim!D3</f>
        <v>27.431999999999999</v>
      </c>
    </row>
    <row r="245" spans="2:10" ht="17.5">
      <c r="B245" t="s">
        <v>149</v>
      </c>
      <c r="C245" s="25">
        <f>C239/C235</f>
        <v>3229157.2486553248</v>
      </c>
      <c r="D245" t="s">
        <v>151</v>
      </c>
      <c r="F245" t="s">
        <v>157</v>
      </c>
      <c r="G245">
        <v>0.79900000000000004</v>
      </c>
    </row>
    <row r="246" spans="2:10" ht="16.5">
      <c r="C246" s="26">
        <f>C245/(10^6)</f>
        <v>3.2291572486553246</v>
      </c>
      <c r="D246" t="s">
        <v>152</v>
      </c>
    </row>
  </sheetData>
  <mergeCells count="11">
    <mergeCell ref="N4:N5"/>
    <mergeCell ref="A4:A7"/>
    <mergeCell ref="B4:B7"/>
    <mergeCell ref="C4:C5"/>
    <mergeCell ref="D4:D5"/>
    <mergeCell ref="E4:E5"/>
    <mergeCell ref="G4:G5"/>
    <mergeCell ref="I4:I5"/>
    <mergeCell ref="J4:J5"/>
    <mergeCell ref="K4:K5"/>
    <mergeCell ref="H4:H5"/>
  </mergeCells>
  <phoneticPr fontId="13" type="noConversion"/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986B-2AC1-48F3-8D4E-F88A61CC0315}">
  <dimension ref="B1:D4"/>
  <sheetViews>
    <sheetView workbookViewId="0">
      <selection activeCell="H8" sqref="H8:L12"/>
    </sheetView>
  </sheetViews>
  <sheetFormatPr defaultRowHeight="14.5"/>
  <sheetData>
    <row r="1" spans="2:4">
      <c r="B1" t="s">
        <v>129</v>
      </c>
    </row>
    <row r="3" spans="2:4">
      <c r="B3" s="19" t="s">
        <v>125</v>
      </c>
      <c r="C3" s="19" t="s">
        <v>127</v>
      </c>
      <c r="D3" s="19" t="s">
        <v>129</v>
      </c>
    </row>
    <row r="4" spans="2:4">
      <c r="B4" s="19" t="s">
        <v>126</v>
      </c>
      <c r="D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MainDim</vt:lpstr>
      <vt:lpstr>Sheet2</vt:lpstr>
      <vt:lpstr>MODULUS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Lintang Al Njeporowiy</dc:creator>
  <cp:lastModifiedBy>Lintang Al Njeporowiy</cp:lastModifiedBy>
  <dcterms:created xsi:type="dcterms:W3CDTF">2026-06-03T03:29:56Z</dcterms:created>
  <dcterms:modified xsi:type="dcterms:W3CDTF">2026-06-09T15:38:44Z</dcterms:modified>
</cp:coreProperties>
</file>